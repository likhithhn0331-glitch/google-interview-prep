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39aa56af1d42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f5656ab31614cfc"/>
    <x:sheet xmlns:r="http://schemas.openxmlformats.org/officeDocument/2006/relationships" name="12-Month Roadmap" sheetId="2" r:id="R18f1cc4842314ce7"/>
    <x:sheet xmlns:r="http://schemas.openxmlformats.org/officeDocument/2006/relationships" name="Weekly Tracker" sheetId="3" r:id="R5150ff4c806c4178"/>
    <x:sheet xmlns:r="http://schemas.openxmlformats.org/officeDocument/2006/relationships" name="DSA Tracker" sheetId="4" r:id="R3426f26d80164224"/>
    <x:sheet xmlns:r="http://schemas.openxmlformats.org/officeDocument/2006/relationships" name="Project Tracker" sheetId="5" r:id="R5e6a7bb9812f43f0"/>
    <x:sheet xmlns:r="http://schemas.openxmlformats.org/officeDocument/2006/relationships" name="System Design" sheetId="6" r:id="R5d99be5c13ed4df2"/>
    <x:sheet xmlns:r="http://schemas.openxmlformats.org/officeDocument/2006/relationships" name="Applications" sheetId="7" r:id="R8b55390df6ac4acc"/>
    <x:sheet xmlns:r="http://schemas.openxmlformats.org/officeDocument/2006/relationships" name="Resume &amp; Career" sheetId="8" r:id="Rcf55ca773c434c23"/>
    <x:sheet xmlns:r="http://schemas.openxmlformats.org/officeDocument/2006/relationships" name="Daily Habit" sheetId="9" r:id="Ra6ae59280b2649ab"/>
    <x:sheet xmlns:r="http://schemas.openxmlformats.org/officeDocument/2006/relationships" name="Reference" sheetId="10" r:id="Rf484648cee8149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-mmm-yyyy"/>
    <x:numFmt numFmtId="201" formatCode="0%"/>
    <x:numFmt numFmtId="202" formatCode="0.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1" fontId="3" fillId="4" borderId="0" xfId="0" applyNumberFormat="1" applyFont="1" applyFill="1" applyBorder="1" applyAlignment="1">
      <x:alignment horizontal="center" vertical="center" wrapText="1"/>
    </x:xf>
    <x:xf numFmtId="201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1"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b9e05e5a284dae" /><Relationship Type="http://schemas.openxmlformats.org/officeDocument/2006/relationships/theme" Target="/xl/theme/theme1.xml" Id="R324aebb2bd494218" /><Relationship Type="http://schemas.openxmlformats.org/officeDocument/2006/relationships/sharedStrings" Target="/xl/sharedStrings.xml" Id="R7ebc4d53c6f34fbd" /><Relationship Type="http://schemas.openxmlformats.org/officeDocument/2006/relationships/worksheet" Target="/xl/worksheets/sheet1.xml" Id="R5f5656ab31614cfc" /><Relationship Type="http://schemas.openxmlformats.org/officeDocument/2006/relationships/worksheet" Target="/xl/worksheets/sheet2.xml" Id="R18f1cc4842314ce7" /><Relationship Type="http://schemas.openxmlformats.org/officeDocument/2006/relationships/worksheet" Target="/xl/worksheets/sheet3.xml" Id="R5150ff4c806c4178" /><Relationship Type="http://schemas.openxmlformats.org/officeDocument/2006/relationships/worksheet" Target="/xl/worksheets/sheet4.xml" Id="R3426f26d80164224" /><Relationship Type="http://schemas.openxmlformats.org/officeDocument/2006/relationships/worksheet" Target="/xl/worksheets/sheet5.xml" Id="R5e6a7bb9812f43f0" /><Relationship Type="http://schemas.openxmlformats.org/officeDocument/2006/relationships/worksheet" Target="/xl/worksheets/sheet6.xml" Id="R5d99be5c13ed4df2" /><Relationship Type="http://schemas.openxmlformats.org/officeDocument/2006/relationships/worksheet" Target="/xl/worksheets/sheet7.xml" Id="R8b55390df6ac4acc" /><Relationship Type="http://schemas.openxmlformats.org/officeDocument/2006/relationships/worksheet" Target="/xl/worksheets/sheet8.xml" Id="Rcf55ca773c434c23" /><Relationship Type="http://schemas.openxmlformats.org/officeDocument/2006/relationships/worksheet" Target="/xl/worksheets/sheet9.xml" Id="Ra6ae59280b2649ab" /><Relationship Type="http://schemas.openxmlformats.org/officeDocument/2006/relationships/worksheet" Target="/xl/worksheets/sheet10.xml" Id="Rf484648cee81491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5bda993d50f4da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Weekly Hours: Actual vs Planned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Actual Hours</c:v>
          </c:tx>
          <c:marker>
            <c:symbol val="none"/>
          </c:marker>
          <c:cat>
            <c:strRef>
              <c:f>'Dashboard'!$K$4:$K$15</c:f>
              <c:strCache>
                <c:ptCount val="0"/>
              </c:strCache>
            </c:strRef>
          </c:cat>
          <c:val>
            <c:numRef>
              <c:f>'Dashboard'!$L$4:$L$15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Planned Hours</c:v>
          </c:tx>
          <c:marker>
            <c:symbol val="none"/>
          </c:marker>
          <c:cat>
            <c:strRef>
              <c:f>'Dashboard'!$K$4:$K$15</c:f>
              <c:strCache>
                <c:ptCount val="0"/>
              </c:strCache>
            </c:strRef>
          </c:cat>
          <c:val>
            <c:numRef>
              <c:f>'Dashboard'!$M$4:$M$15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16</xdr:row>
      <xdr:rowOff>0</xdr:rowOff>
    </xdr:from>
    <xdr:to>
      <xdr:col>14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5bda993d50f4da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oadmapTable" displayName="RoadmapTable" ref="A3:K15" headerRowCount="1" totalsRowCount="0" totalsRowShown="0">
  <x:tableColumns count="11">
    <x:tableColumn id="1" name="Month"/>
    <x:tableColumn id="2" name="Dates"/>
    <x:tableColumn id="3" name="Primary Goal"/>
    <x:tableColumn id="4" name="DSA Target"/>
    <x:tableColumn id="5" name="Project Focus"/>
    <x:tableColumn id="6" name="Learning Focus"/>
    <x:tableColumn id="7" name="Deliverables"/>
    <x:tableColumn id="8" name="System Design"/>
    <x:tableColumn id="9" name="Career/Resume"/>
    <x:tableColumn id="10" name="Hours/Week"/>
    <x:tableColumn id="11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eeklyTable" displayName="WeeklyTable" ref="A3:L55" headerRowCount="1" totalsRowCount="0" totalsRowShown="0">
  <x:tableColumns count="12">
    <x:tableColumn id="1" name="Week"/>
    <x:tableColumn id="2" name="Start"/>
    <x:tableColumn id="3" name="End"/>
    <x:tableColumn id="4" name="Month"/>
    <x:tableColumn id="5" name="Primary Focus"/>
    <x:tableColumn id="6" name="Weekly DSA Target"/>
    <x:tableColumn id="7" name="Weekly Project Target"/>
    <x:tableColumn id="8" name="Actual Hours"/>
    <x:tableColumn id="9" name="Planned Hours"/>
    <x:tableColumn id="10" name="DSA Solved"/>
    <x:tableColumn id="11" name="Project Tasks Done"/>
    <x:tableColumn id="12" name="Overall 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SATable" displayName="DSATable" ref="A3:J453" headerRowCount="1" totalsRowCount="0" totalsRowShown="0">
  <x:tableColumns count="10">
    <x:tableColumn id="1" name="Problem / Title"/>
    <x:tableColumn id="2" name="Pattern"/>
    <x:tableColumn id="3" name="Difficulty"/>
    <x:tableColumn id="4" name="Platform/ID"/>
    <x:tableColumn id="5" name="Date Solved"/>
    <x:tableColumn id="6" name="Solved"/>
    <x:tableColumn id="7" name="Time (min)"/>
    <x:tableColumn id="8" name="Mistake / Insight"/>
    <x:tableColumn id="9" name="Revisit Date"/>
    <x:tableColumn id="10" name="Revisite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jectTable" displayName="ProjectTable" ref="A3:K63" headerRowCount="1" totalsRowCount="0" totalsRowShown="0">
  <x:tableColumns count="11">
    <x:tableColumn id="1" name="Project"/>
    <x:tableColumn id="2" name="Phase"/>
    <x:tableColumn id="3" name="Task ID"/>
    <x:tableColumn id="4" name="Task"/>
    <x:tableColumn id="5" name="Target Month"/>
    <x:tableColumn id="6" name="Status"/>
    <x:tableColumn id="7" name="Priority"/>
    <x:tableColumn id="8" name="Owner"/>
    <x:tableColumn id="9" name="Start"/>
    <x:tableColumn id="10" name="Due"/>
    <x:tableColumn id="11" name="Evidence / Link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esignTable" displayName="DesignTable" ref="A3:J33" headerRowCount="1" totalsRowCount="0" totalsRowShown="0">
  <x:tableColumns count="10">
    <x:tableColumn id="1" name="#"/>
    <x:tableColumn id="2" name="Problem"/>
    <x:tableColumn id="3" name="Category"/>
    <x:tableColumn id="4" name="Practice Target"/>
    <x:tableColumn id="5" name="Date"/>
    <x:tableColumn id="6" name="Status"/>
    <x:tableColumn id="7" name="Notes"/>
    <x:tableColumn id="8" name="Key Components"/>
    <x:tableColumn id="9" name="Scale/Numbers"/>
    <x:tableColumn id="10" name="Mock Scor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pplicationsTable" displayName="ApplicationsTable" ref="A3:K103" headerRowCount="1" totalsRowCount="0" totalsRowShown="0">
  <x:tableColumns count="11">
    <x:tableColumn id="1" name="Company"/>
    <x:tableColumn id="2" name="Role"/>
    <x:tableColumn id="3" name="URL"/>
    <x:tableColumn id="4" name="Contact/Recruiter"/>
    <x:tableColumn id="5" name="Contact Date"/>
    <x:tableColumn id="6" name="Status"/>
    <x:tableColumn id="7" name="Next Step"/>
    <x:tableColumn id="8" name="Follow-up Date"/>
    <x:tableColumn id="9" name="Referral?"/>
    <x:tableColumn id="10" name="Interview Stage"/>
    <x:tableColumn id="11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areerTable" displayName="CareerTable" ref="A3:J19" headerRowCount="1" totalsRowCount="0" totalsRowShown="0">
  <x:tableColumns count="10">
    <x:tableColumn id="1" name="Area"/>
    <x:tableColumn id="2" name="Action"/>
    <x:tableColumn id="3" name="Target Month"/>
    <x:tableColumn id="4" name="Done?"/>
    <x:tableColumn id="5" name="Evidence/Link"/>
    <x:tableColumn id="6" name="Metric / Number"/>
    <x:tableColumn id="7" name="Current Version"/>
    <x:tableColumn id="8" name="Next Revision"/>
    <x:tableColumn id="9" name="Priority"/>
    <x:tableColumn id="10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HabitTable" displayName="HabitTable" ref="A3:J368" headerRowCount="1" totalsRowCount="0" totalsRowShown="0">
  <x:tableColumns count="10">
    <x:tableColumn id="1" name="Date"/>
    <x:tableColumn id="2" name="Day"/>
    <x:tableColumn id="3" name="DSA (min)"/>
    <x:tableColumn id="4" name="Project (min)"/>
    <x:tableColumn id="5" name="ML/AI (min)"/>
    <x:tableColumn id="6" name="System Design (min)"/>
    <x:tableColumn id="7" name="Career (min)"/>
    <x:tableColumn id="8" name="Total (min)"/>
    <x:tableColumn id="9" name="Total Hours"/>
    <x:tableColumn id="10" name="Daily Goal Met?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7e545970dc848d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1803dba1303453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ac393570223430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a12e44df133462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fbd80928a714df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36b32b8377849f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e8a4693695e4d6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f483d117322417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05b571ac92049bb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4" max="4" width="24" hidden="0" customWidth="1"/>
    <x:col min="5" max="5" width="16" hidden="0" customWidth="1"/>
    <x:col min="6" max="6" width="15" hidden="0" customWidth="1"/>
    <x:col min="7" max="7" width="16" hidden="0" customWidth="1"/>
    <x:col min="8" max="8" width="16" hidden="0" customWidth="1"/>
    <x:col min="9" max="9" width="25" hidden="0" customWidth="1"/>
    <x:col min="11" max="11" width="9" hidden="0" customWidth="1"/>
    <x:col min="12" max="12" width="14" hidden="0" customWidth="1"/>
    <x:col min="13" max="13" width="15" hidden="0" customWidth="1"/>
  </x:cols>
  <x:sheetData>
    <x:row r="1" ht="28" customHeight="1">
      <x:c r="A1" s="5" t="str">
        <x:v>GOOGLE 12-MONTH CAREER BLUEPRINT — MASTER TRACKER</x:v>
      </x:c>
    </x:row>
    <x:row r="3">
      <x:c r="A3" s="11" t="str">
        <x:v>Goal</x:v>
      </x:c>
      <x:c r="B3" s="16" t="str">
        <x:v>Google SWE / AI-ML / GenAI / Full-Stack roles</x:v>
      </x:c>
      <x:c r="D3" s="19" t="str">
        <x:v>LIVE PROGRESS KPIs</x:v>
      </x:c>
      <x:c r="K3" s="25" t="str">
        <x:v>Week</x:v>
      </x:c>
      <x:c r="L3" s="25" t="str">
        <x:v>Actual Hours</x:v>
      </x:c>
      <x:c r="M3" s="25" t="str">
        <x:v>Planned Hours</x:v>
      </x:c>
    </x:row>
    <x:row r="4">
      <x:c r="A4" s="11" t="str">
        <x:v>Start Date</x:v>
      </x:c>
      <x:c r="B4" s="14" t="n">
        <x:v>46275</x:v>
      </x:c>
      <x:c r="C4"/>
      <x:c r="D4" s="25" t="str">
        <x:v>Hours Logged</x:v>
      </x:c>
      <x:c r="E4" s="25" t="n">
        <x:f>SUM('Weekly Tracker'!$H$4:$H$55)</x:f>
        <x:v>0</x:v>
      </x:c>
      <x:c r="F4" s="25" t="str">
        <x:v>Planned Hours</x:v>
      </x:c>
      <x:c r="G4" s="25" t="n">
        <x:f>SUM('Weekly Tracker'!$I$4:$I$55)</x:f>
        <x:v>832</x:v>
      </x:c>
      <x:c r="H4" s="25" t="str">
        <x:v>Hours %</x:v>
      </x:c>
      <x:c r="I4" s="29" t="n">
        <x:f>IF(G4=0,0,E4/G4)</x:f>
        <x:v>0</x:v>
      </x:c>
      <x:c r="K4" s="16" t="n">
        <x:v>1</x:v>
      </x:c>
      <x:c r="L4" s="16" t="n">
        <x:f>'Weekly Tracker'!H4</x:f>
        <x:v>0</x:v>
      </x:c>
      <x:c r="M4" s="16" t="n">
        <x:f>'Weekly Tracker'!I4</x:f>
        <x:v>16</x:v>
      </x:c>
    </x:row>
    <x:row r="5">
      <x:c r="A5" s="11" t="str">
        <x:v>Target End</x:v>
      </x:c>
      <x:c r="B5" s="14" t="n">
        <x:v>46639</x:v>
      </x:c>
      <x:c r="C5"/>
      <x:c r="D5" s="25" t="str">
        <x:v>DSA Solved</x:v>
      </x:c>
      <x:c r="E5" s="25" t="n">
        <x:f>COUNTIF('DSA Tracker'!$F$4:$F$453,"Yes")</x:f>
        <x:v>0</x:v>
      </x:c>
      <x:c r="F5" s="25" t="str">
        <x:v>DSA Target</x:v>
      </x:c>
      <x:c r="G5" s="25" t="n">
        <x:v>450</x:v>
      </x:c>
      <x:c r="H5" s="25" t="str">
        <x:v>DSA %</x:v>
      </x:c>
      <x:c r="I5" s="29" t="n">
        <x:f>IF(G5=0,0,E5/G5)</x:f>
        <x:v>0</x:v>
      </x:c>
      <x:c r="K5" s="16" t="n">
        <x:v>2</x:v>
      </x:c>
      <x:c r="L5" s="16" t="n">
        <x:f>'Weekly Tracker'!H5</x:f>
        <x:v>0</x:v>
      </x:c>
      <x:c r="M5" s="16" t="n">
        <x:f>'Weekly Tracker'!I5</x:f>
        <x:v>16</x:v>
      </x:c>
    </x:row>
    <x:row r="6">
      <x:c r="A6" s="11" t="str">
        <x:v>Daily Commitment</x:v>
      </x:c>
      <x:c r="B6" s="16" t="str">
        <x:v>2–3 hours</x:v>
      </x:c>
      <x:c r="D6" s="25" t="str">
        <x:v>Project Tasks Done</x:v>
      </x:c>
      <x:c r="E6" s="25" t="n">
        <x:f>COUNTIF('Project Tracker'!$F$4:$F$63,"Done")</x:f>
        <x:v>0</x:v>
      </x:c>
      <x:c r="F6" s="25" t="str">
        <x:v>Project Tasks</x:v>
      </x:c>
      <x:c r="G6" s="25" t="n">
        <x:f>COUNTA('Project Tracker'!$A$4:$A$63)</x:f>
        <x:v>60</x:v>
      </x:c>
      <x:c r="H6" s="25" t="str">
        <x:v>Project %</x:v>
      </x:c>
      <x:c r="I6" s="29" t="n">
        <x:f>IF(G6=0,0,E6/G6)</x:f>
        <x:v>0</x:v>
      </x:c>
      <x:c r="K6" s="16" t="n">
        <x:v>3</x:v>
      </x:c>
      <x:c r="L6" s="16" t="n">
        <x:f>'Weekly Tracker'!H6</x:f>
        <x:v>0</x:v>
      </x:c>
      <x:c r="M6" s="16" t="n">
        <x:f>'Weekly Tracker'!I6</x:f>
        <x:v>16</x:v>
      </x:c>
    </x:row>
    <x:row r="7">
      <x:c r="A7" s="11" t="str">
        <x:v>Weekly Target</x:v>
      </x:c>
      <x:c r="B7" s="16" t="str">
        <x:v>16 hours</x:v>
      </x:c>
      <x:c r="D7" s="25" t="str">
        <x:v>System Designs</x:v>
      </x:c>
      <x:c r="E7" s="25" t="n">
        <x:f>COUNTIF('System Design'!$F$4:$F$33,"Done")</x:f>
        <x:v>0</x:v>
      </x:c>
      <x:c r="F7" s="25" t="str">
        <x:v>Design Target</x:v>
      </x:c>
      <x:c r="G7" s="25" t="n">
        <x:v>30</x:v>
      </x:c>
      <x:c r="H7" s="25" t="str">
        <x:v>Design %</x:v>
      </x:c>
      <x:c r="I7" s="29" t="n">
        <x:f>IF(G7=0,0,E7/G7)</x:f>
        <x:v>0</x:v>
      </x:c>
      <x:c r="K7" s="16" t="n">
        <x:v>4</x:v>
      </x:c>
      <x:c r="L7" s="16" t="n">
        <x:f>'Weekly Tracker'!H7</x:f>
        <x:v>0</x:v>
      </x:c>
      <x:c r="M7" s="16" t="n">
        <x:f>'Weekly Tracker'!I7</x:f>
        <x:v>16</x:v>
      </x:c>
    </x:row>
    <x:row r="8">
      <x:c r="A8" s="11" t="str">
        <x:v>Core Flagship Projects</x:v>
      </x:c>
      <x:c r="B8" s="16" t="n">
        <x:v>3</x:v>
      </x:c>
      <x:c r="D8" s="25" t="str">
        <x:v>Applications</x:v>
      </x:c>
      <x:c r="E8" s="25" t="n">
        <x:f>COUNTIF('Applications'!$F$4:$F$103,"Applied")</x:f>
        <x:v>0</x:v>
      </x:c>
      <x:c r="F8" s="25" t="str">
        <x:v>Referrals</x:v>
      </x:c>
      <x:c r="G8" s="25" t="n">
        <x:f>COUNTIF('Applications'!$F$4:$F$103,"Referral")</x:f>
        <x:v>0</x:v>
      </x:c>
      <x:c r="H8" s="25" t="str">
        <x:v>Interview Mocks</x:v>
      </x:c>
      <x:c r="I8" s="25" t="n">
        <x:f>COUNTIF('Applications'!$J$4:$J$103,"Mock")</x:f>
        <x:v>0</x:v>
      </x:c>
      <x:c r="K8" s="16" t="n">
        <x:v>5</x:v>
      </x:c>
      <x:c r="L8" s="16" t="n">
        <x:f>'Weekly Tracker'!H8</x:f>
        <x:v>0</x:v>
      </x:c>
      <x:c r="M8" s="16" t="n">
        <x:f>'Weekly Tracker'!I8</x:f>
        <x:v>16</x:v>
      </x:c>
    </x:row>
    <x:row r="9">
      <x:c r="A9" s="11" t="str">
        <x:v>Target DSA</x:v>
      </x:c>
      <x:c r="B9" s="16" t="n">
        <x:v>450</x:v>
      </x:c>
      <x:c r="K9" s="16" t="n">
        <x:v>6</x:v>
      </x:c>
      <x:c r="L9" s="16" t="n">
        <x:f>'Weekly Tracker'!H9</x:f>
        <x:v>0</x:v>
      </x:c>
      <x:c r="M9" s="16" t="n">
        <x:f>'Weekly Tracker'!I9</x:f>
        <x:v>16</x:v>
      </x:c>
    </x:row>
    <x:row r="10">
      <x:c r="A10" s="11" t="str">
        <x:v>Primary Cloud</x:v>
      </x:c>
      <x:c r="B10" s="16" t="str">
        <x:v>Google Cloud (GCP)</x:v>
      </x:c>
      <x:c r="D10" s="25" t="str">
        <x:v>Milestone</x:v>
      </x:c>
      <x:c r="E10" s="25" t="str">
        <x:v>Target</x:v>
      </x:c>
      <x:c r="F10" s="25" t="str">
        <x:v>Current</x:v>
      </x:c>
      <x:c r="G10" s="25" t="str">
        <x:v>Gap</x:v>
      </x:c>
      <x:c r="H10" s="25" t="str">
        <x:v>Status</x:v>
      </x:c>
      <x:c r="I10" s="25" t="str">
        <x:v>Notes</x:v>
      </x:c>
      <x:c r="K10" s="16" t="n">
        <x:v>7</x:v>
      </x:c>
      <x:c r="L10" s="16" t="n">
        <x:f>'Weekly Tracker'!H10</x:f>
        <x:v>0</x:v>
      </x:c>
      <x:c r="M10" s="16" t="n">
        <x:f>'Weekly Tracker'!I10</x:f>
        <x:v>16</x:v>
      </x:c>
    </x:row>
    <x:row r="11">
      <x:c r="D11" s="16" t="str">
        <x:v>End Month 3</x:v>
      </x:c>
      <x:c r="E11" s="16" t="n">
        <x:v>135</x:v>
      </x:c>
      <x:c r="F11" s="16" t="n">
        <x:f>E5</x:f>
        <x:v>0</x:v>
      </x:c>
      <x:c r="G11" s="16" t="n">
        <x:f>MAX(0,E11-F11)</x:f>
        <x:v>135</x:v>
      </x:c>
      <x:c r="H11" s="16" t="str">
        <x:f>IF(F11&gt;=E11,"On track","Behind")</x:f>
        <x:v>Behind</x:v>
      </x:c>
      <x:c r="I11" s="16" t="str">
        <x:v>DSA + backend</x:v>
      </x:c>
      <x:c r="K11" s="16" t="n">
        <x:v>8</x:v>
      </x:c>
      <x:c r="L11" s="16" t="n">
        <x:f>'Weekly Tracker'!H11</x:f>
        <x:v>0</x:v>
      </x:c>
      <x:c r="M11" s="16" t="n">
        <x:f>'Weekly Tracker'!I11</x:f>
        <x:v>16</x:v>
      </x:c>
    </x:row>
    <x:row r="12">
      <x:c r="D12" s="16" t="str">
        <x:v>End Month 6</x:v>
      </x:c>
      <x:c r="E12" s="16" t="n">
        <x:v>250</x:v>
      </x:c>
      <x:c r="F12" s="16" t="n">
        <x:f>E5</x:f>
        <x:v>0</x:v>
      </x:c>
      <x:c r="G12" s="16" t="n">
        <x:f>MAX(0,E12-F12)</x:f>
        <x:v>250</x:v>
      </x:c>
      <x:c r="H12" s="16" t="str">
        <x:f>IF(F12&gt;=E12,"On track","Behind")</x:f>
        <x:v>Behind</x:v>
      </x:c>
      <x:c r="I12" s="16" t="str">
        <x:v>AI/ML + RAG</x:v>
      </x:c>
      <x:c r="K12" s="16" t="n">
        <x:v>9</x:v>
      </x:c>
      <x:c r="L12" s="16" t="n">
        <x:f>'Weekly Tracker'!H12</x:f>
        <x:v>0</x:v>
      </x:c>
      <x:c r="M12" s="16" t="n">
        <x:f>'Weekly Tracker'!I12</x:f>
        <x:v>16</x:v>
      </x:c>
    </x:row>
    <x:row r="13">
      <x:c r="D13" s="16" t="str">
        <x:v>End Month 9</x:v>
      </x:c>
      <x:c r="E13" s="16" t="n">
        <x:v>350</x:v>
      </x:c>
      <x:c r="F13" s="16" t="n">
        <x:f>E5</x:f>
        <x:v>0</x:v>
      </x:c>
      <x:c r="G13" s="16" t="n">
        <x:f>MAX(0,E13-F13)</x:f>
        <x:v>350</x:v>
      </x:c>
      <x:c r="H13" s="16" t="str">
        <x:f>IF(F13&gt;=E13,"On track","Behind")</x:f>
        <x:v>Behind</x:v>
      </x:c>
      <x:c r="I13" s="16" t="str">
        <x:v>Full-stack + cloud</x:v>
      </x:c>
      <x:c r="K13" s="16" t="n">
        <x:v>10</x:v>
      </x:c>
      <x:c r="L13" s="16" t="n">
        <x:f>'Weekly Tracker'!H13</x:f>
        <x:v>0</x:v>
      </x:c>
      <x:c r="M13" s="16" t="n">
        <x:f>'Weekly Tracker'!I13</x:f>
        <x:v>16</x:v>
      </x:c>
    </x:row>
    <x:row r="14">
      <x:c r="D14" s="16" t="str">
        <x:v>End Month 12</x:v>
      </x:c>
      <x:c r="E14" s="16" t="n">
        <x:v>450</x:v>
      </x:c>
      <x:c r="F14" s="16" t="n">
        <x:f>E5</x:f>
        <x:v>0</x:v>
      </x:c>
      <x:c r="G14" s="16" t="n">
        <x:f>MAX(0,E14-F14)</x:f>
        <x:v>450</x:v>
      </x:c>
      <x:c r="H14" s="16" t="str">
        <x:f>IF(F14&gt;=E14,"On track","Behind")</x:f>
        <x:v>Behind</x:v>
      </x:c>
      <x:c r="I14" s="16" t="str">
        <x:v>Interview readiness</x:v>
      </x:c>
      <x:c r="K14" s="16" t="n">
        <x:v>11</x:v>
      </x:c>
      <x:c r="L14" s="16" t="n">
        <x:f>'Weekly Tracker'!H14</x:f>
        <x:v>0</x:v>
      </x:c>
      <x:c r="M14" s="16" t="n">
        <x:f>'Weekly Tracker'!I14</x:f>
        <x:v>16</x:v>
      </x:c>
    </x:row>
    <x:row r="15">
      <x:c r="K15" s="16" t="n">
        <x:v>12</x:v>
      </x:c>
      <x:c r="L15" s="16" t="n">
        <x:f>'Weekly Tracker'!H15</x:f>
        <x:v>0</x:v>
      </x:c>
      <x:c r="M15" s="16" t="n">
        <x:f>'Weekly Tracker'!I15</x:f>
        <x:v>16</x:v>
      </x:c>
    </x:row>
    <x:row r="16">
      <x:c r="D16" s="25" t="str">
        <x:v>Focus Area</x:v>
      </x:c>
      <x:c r="E16" s="25" t="str">
        <x:v>Weekly Hrs</x:v>
      </x:c>
      <x:c r="F16" s="25" t="str">
        <x:v>12-Mo Hrs</x:v>
      </x:c>
      <x:c r="G16" s="25" t="str">
        <x:v>Priority</x:v>
      </x:c>
      <x:c r="H16" s="25" t="str">
        <x:v>Definition of Done</x:v>
      </x:c>
      <x:c r="I16" s="25" t="str">
        <x:v>Current Status</x:v>
      </x:c>
    </x:row>
    <x:row r="17">
      <x:c r="D17" s="16" t="str">
        <x:v>DSA</x:v>
      </x:c>
      <x:c r="E17" s="16" t="n">
        <x:v>5</x:v>
      </x:c>
      <x:c r="F17" s="16" t="n">
        <x:f>E17*52</x:f>
        <x:v>260</x:v>
      </x:c>
      <x:c r="G17" s="16" t="str">
        <x:v>Critical</x:v>
      </x:c>
      <x:c r="H17" s="16" t="str">
        <x:v>450 strong patterns + interview-ready</x:v>
      </x:c>
      <x:c r="I17" s="16" t="str">
        <x:v>Not Started</x:v>
      </x:c>
    </x:row>
    <x:row r="18">
      <x:c r="D18" s="16" t="str">
        <x:v>Flagship Projects</x:v>
      </x:c>
      <x:c r="E18" s="16" t="n">
        <x:v>6</x:v>
      </x:c>
      <x:c r="F18" s="16" t="n">
        <x:f>E18*52</x:f>
        <x:v>312</x:v>
      </x:c>
      <x:c r="G18" s="16" t="str">
        <x:v>Critical</x:v>
      </x:c>
      <x:c r="H18" s="16" t="str">
        <x:v>3 production-grade projects</x:v>
      </x:c>
      <x:c r="I18" s="16" t="str">
        <x:v>Not Started</x:v>
      </x:c>
    </x:row>
    <x:row r="19">
      <x:c r="D19" s="16" t="str">
        <x:v>ML/GenAI</x:v>
      </x:c>
      <x:c r="E19" s="16" t="n">
        <x:v>2</x:v>
      </x:c>
      <x:c r="F19" s="16" t="n">
        <x:f>E19*52</x:f>
        <x:v>104</x:v>
      </x:c>
      <x:c r="G19" s="16" t="str">
        <x:v>Critical</x:v>
      </x:c>
      <x:c r="H19" s="16" t="str">
        <x:v>ML + RAG + agents + evaluation</x:v>
      </x:c>
      <x:c r="I19" s="16" t="str">
        <x:v>Not Started</x:v>
      </x:c>
    </x:row>
    <x:row r="20">
      <x:c r="D20" s="16" t="str">
        <x:v>System Design</x:v>
      </x:c>
      <x:c r="E20" s="16" t="n">
        <x:v>2</x:v>
      </x:c>
      <x:c r="F20" s="16" t="n">
        <x:f>E20*52</x:f>
        <x:v>104</x:v>
      </x:c>
      <x:c r="G20" s="16" t="str">
        <x:v>Critical</x:v>
      </x:c>
      <x:c r="H20" s="16" t="str">
        <x:v>30 timed designs</x:v>
      </x:c>
      <x:c r="I20" s="16" t="str">
        <x:v>Not Started</x:v>
      </x:c>
    </x:row>
    <x:row r="21">
      <x:c r="D21" s="16" t="str">
        <x:v>Resume/Networking</x:v>
      </x:c>
      <x:c r="E21" s="16" t="n">
        <x:v>1</x:v>
      </x:c>
      <x:c r="F21" s="16" t="n">
        <x:f>E21*52</x:f>
        <x:v>52</x:v>
      </x:c>
      <x:c r="G21" s="16" t="str">
        <x:v>High</x:v>
      </x:c>
      <x:c r="H21" s="16" t="str">
        <x:v>Resume + GitHub + targeted applications</x:v>
      </x:c>
      <x:c r="I21" s="16" t="str">
        <x:v>Not Started</x:v>
      </x:c>
    </x:row>
  </x:sheetData>
  <x:mergeCells>
    <x:mergeCell ref="A1:N1"/>
    <x:mergeCell ref="D3:I3"/>
  </x:mergeCells>
  <x:conditionalFormatting sqref="H11:H14">
    <x:cfRule type="expression" dxfId="0" priority="1">
      <x:formula>H11="On track"</x:formula>
    </x:cfRule>
    <x:cfRule type="expression" dxfId="1" priority="2">
      <x:formula>H11="Behind"</x:formula>
    </x:cfRule>
  </x:conditionalFormatting>
  <x:dataValidations count="1">
    <x:dataValidation type="list" sqref="I17:I21">
      <x:formula1>"Not Started,In Progress,Done,Paused"</x:formula1>
    </x:dataValidation>
  </x:dataValidations>
  <x:pageMargins left="0.7" right="0.7" top="0.75" bottom="0.75" header="0.3" footer="0.3"/>
  <x:drawing xmlns:r="http://schemas.openxmlformats.org/officeDocument/2006/relationships" r:id="R27e545970dc848dc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28" hidden="0" customWidth="1"/>
    <x:col min="4" max="4" width="14" hidden="0" customWidth="1"/>
    <x:col min="5" max="5" width="38" hidden="0" customWidth="1"/>
    <x:col min="6" max="6" width="42" hidden="0" customWidth="1"/>
    <x:col min="7" max="7" width="48" hidden="0" customWidth="1"/>
    <x:col min="8" max="8" width="30" hidden="0" customWidth="1"/>
    <x:col min="9" max="9" width="38" hidden="0" customWidth="1"/>
    <x:col min="10" max="10" width="12" hidden="0" customWidth="1"/>
    <x:col min="11" max="11" width="16" hidden="0" customWidth="1"/>
  </x:cols>
  <x:sheetData>
    <x:row r="1" ht="28" customHeight="1">
      <x:c r="A1" s="5" t="str">
        <x:v>12-MONTH ROADMAP — MONTH-BY-MONTH EXECUTION PLAN</x:v>
      </x:c>
    </x:row>
    <x:row r="3">
      <x:c r="A3" s="25" t="str">
        <x:v>Month</x:v>
      </x:c>
      <x:c r="B3" s="25" t="str">
        <x:v>Dates</x:v>
      </x:c>
      <x:c r="C3" s="25" t="str">
        <x:v>Primary Goal</x:v>
      </x:c>
      <x:c r="D3" s="25" t="str">
        <x:v>DSA Target</x:v>
      </x:c>
      <x:c r="E3" s="25" t="str">
        <x:v>Project Focus</x:v>
      </x:c>
      <x:c r="F3" s="25" t="str">
        <x:v>Learning Focus</x:v>
      </x:c>
      <x:c r="G3" s="25" t="str">
        <x:v>Deliverables</x:v>
      </x:c>
      <x:c r="H3" s="25" t="str">
        <x:v>System Design</x:v>
      </x:c>
      <x:c r="I3" s="25" t="str">
        <x:v>Career/Resume</x:v>
      </x:c>
      <x:c r="J3" s="25" t="str">
        <x:v>Hours/Week</x:v>
      </x:c>
      <x:c r="K3" s="25" t="str">
        <x:v>Status</x:v>
      </x:c>
    </x:row>
    <x:row r="4">
      <x:c r="A4" s="31" t="n">
        <x:v>1</x:v>
      </x:c>
      <x:c r="B4" s="31" t="str">
        <x:v>10-Sep-2026 to 09-Oct-2026</x:v>
      </x:c>
      <x:c r="C4" s="31" t="str">
        <x:v>Software engineering foundation</x:v>
      </x:c>
      <x:c r="D4" s="31" t="str">
        <x:v>40–50</x:v>
      </x:c>
      <x:c r="E4" s="31" t="str">
        <x:v>Engineering Playground</x:v>
      </x:c>
      <x:c r="F4" s="31" t="str">
        <x:v>Python, OOP, testing, async, Linux, Git</x:v>
      </x:c>
      <x:c r="G4" s="31" t="str">
        <x:v>LRU cache, rate limiter, retry, task queue, thread pool, logger</x:v>
      </x:c>
      <x:c r="H4" s="31" t="str">
        <x:v>Fundamentals: API/DB basics</x:v>
      </x:c>
      <x:c r="I4" s="31" t="str">
        <x:v>Set up GitHub; start engineering journal</x:v>
      </x:c>
      <x:c r="J4" s="31" t="n">
        <x:v>16</x:v>
      </x:c>
      <x:c r="K4" s="31" t="str">
        <x:v>Not Started</x:v>
      </x:c>
    </x:row>
    <x:row r="5">
      <x:c r="A5" s="31" t="n">
        <x:v>2</x:v>
      </x:c>
      <x:c r="B5" s="31" t="str">
        <x:v>10-Oct-2026 to 09-Nov-2026</x:v>
      </x:c>
      <x:c r="C5" s="31" t="str">
        <x:v>DSA foundations</x:v>
      </x:c>
      <x:c r="D5" s="31" t="str">
        <x:v>50–60</x:v>
      </x:c>
      <x:c r="E5" s="31" t="str">
        <x:v>Engineering Playground</x:v>
      </x:c>
      <x:c r="F5" s="31" t="str">
        <x:v>Arrays, strings, hashing, linked lists, stack, queue, recursion</x:v>
      </x:c>
      <x:c r="G5" s="31" t="str">
        <x:v>Pattern notebook + 50–60 quality problems</x:v>
      </x:c>
      <x:c r="H5" s="31" t="str">
        <x:v>Basic data structures</x:v>
      </x:c>
      <x:c r="I5" s="31" t="str">
        <x:v>Create DSA tracker + public notes</x:v>
      </x:c>
      <x:c r="J5" s="31" t="n">
        <x:v>16</x:v>
      </x:c>
      <x:c r="K5" s="31" t="str">
        <x:v>Not Started</x:v>
      </x:c>
    </x:row>
    <x:row r="6">
      <x:c r="A6" s="31" t="n">
        <x:v>3</x:v>
      </x:c>
      <x:c r="B6" s="31" t="str">
        <x:v>10-Nov-2026 to 09-Dec-2026</x:v>
      </x:c>
      <x:c r="C6" s="31" t="str">
        <x:v>DSA + backend</x:v>
      </x:c>
      <x:c r="D6" s="31" t="str">
        <x:v>40–50</x:v>
      </x:c>
      <x:c r="E6" s="31" t="str">
        <x:v>Project 1: document service</x:v>
      </x:c>
      <x:c r="F6" s="31" t="str">
        <x:v>FastAPI, PostgreSQL, REST, auth, API testing</x:v>
      </x:c>
      <x:c r="G6" s="31" t="str">
        <x:v>Document CRUD + ingestion API + tests</x:v>
      </x:c>
      <x:c r="H6" s="31" t="str">
        <x:v>API design + schema + indexes</x:v>
      </x:c>
      <x:c r="I6" s="31" t="str">
        <x:v>Resume v1; project README v1</x:v>
      </x:c>
      <x:c r="J6" s="31" t="n">
        <x:v>16</x:v>
      </x:c>
      <x:c r="K6" s="31" t="str">
        <x:v>Not Started</x:v>
      </x:c>
    </x:row>
    <x:row r="7">
      <x:c r="A7" s="31" t="n">
        <x:v>4</x:v>
      </x:c>
      <x:c r="B7" s="31" t="str">
        <x:v>10-Dec-2026 to 09-Jan-2027</x:v>
      </x:c>
      <x:c r="C7" s="31" t="str">
        <x:v>Machine learning engineering</x:v>
      </x:c>
      <x:c r="D7" s="31" t="str">
        <x:v>30–40</x:v>
      </x:c>
      <x:c r="E7" s="31" t="str">
        <x:v>Project 2: ModelForge</x:v>
      </x:c>
      <x:c r="F7" s="31" t="str">
        <x:v>Classical ML, metrics, feature engineering, CV</x:v>
      </x:c>
      <x:c r="G7" s="31" t="str">
        <x:v>Dataset → train → evaluate pipeline</x:v>
      </x:c>
      <x:c r="H7" s="31" t="str">
        <x:v>ML system basics</x:v>
      </x:c>
      <x:c r="I7" s="31" t="str">
        <x:v>Technical project report</x:v>
      </x:c>
      <x:c r="J7" s="31" t="n">
        <x:v>16</x:v>
      </x:c>
      <x:c r="K7" s="31" t="str">
        <x:v>Not Started</x:v>
      </x:c>
    </x:row>
    <x:row r="8">
      <x:c r="A8" s="31" t="n">
        <x:v>5</x:v>
      </x:c>
      <x:c r="B8" s="31" t="str">
        <x:v>10-Jan-2027 to 09-Feb-2027</x:v>
      </x:c>
      <x:c r="C8" s="31" t="str">
        <x:v>Deep learning + ML infrastructure</x:v>
      </x:c>
      <x:c r="D8" s="31" t="str">
        <x:v>30–40</x:v>
      </x:c>
      <x:c r="E8" s="31" t="str">
        <x:v>Project 2: ModelForge</x:v>
      </x:c>
      <x:c r="F8" s="31" t="str">
        <x:v>PyTorch, MLflow, model registry, Docker</x:v>
      </x:c>
      <x:c r="G8" s="31" t="str">
        <x:v>Training + registry + inference API</x:v>
      </x:c>
      <x:c r="H8" s="31" t="str">
        <x:v>Model serving</x:v>
      </x:c>
      <x:c r="I8" s="31" t="str">
        <x:v>Resume v2 with quantified ML bullets</x:v>
      </x:c>
      <x:c r="J8" s="31" t="n">
        <x:v>16</x:v>
      </x:c>
      <x:c r="K8" s="31" t="str">
        <x:v>Not Started</x:v>
      </x:c>
    </x:row>
    <x:row r="9">
      <x:c r="A9" s="31" t="n">
        <x:v>6</x:v>
      </x:c>
      <x:c r="B9" s="31" t="str">
        <x:v>10-Feb-2027 to 09-Mar-2027</x:v>
      </x:c>
      <x:c r="C9" s="31" t="str">
        <x:v>RAG mastery</x:v>
      </x:c>
      <x:c r="D9" s="31" t="str">
        <x:v>30–40</x:v>
      </x:c>
      <x:c r="E9" s="31" t="str">
        <x:v>Project 1: RAG</x:v>
      </x:c>
      <x:c r="F9" s="31" t="str">
        <x:v>Embeddings, BM25, hybrid retrieval, reranking, eval</x:v>
      </x:c>
      <x:c r="G9" s="31" t="str">
        <x:v>Measured retrieval experiments</x:v>
      </x:c>
      <x:c r="H9" s="31" t="str">
        <x:v>RAG architecture</x:v>
      </x:c>
      <x:c r="I9" s="31" t="str">
        <x:v>Publish RAG benchmark post</x:v>
      </x:c>
      <x:c r="J9" s="31" t="n">
        <x:v>16</x:v>
      </x:c>
      <x:c r="K9" s="31" t="str">
        <x:v>Not Started</x:v>
      </x:c>
    </x:row>
    <x:row r="10">
      <x:c r="A10" s="31" t="n">
        <x:v>7</x:v>
      </x:c>
      <x:c r="B10" s="31" t="str">
        <x:v>10-Mar-2027 to 09-Apr-2027</x:v>
      </x:c>
      <x:c r="C10" s="31" t="str">
        <x:v>Agent engineering</x:v>
      </x:c>
      <x:c r="D10" s="31" t="str">
        <x:v>30–40</x:v>
      </x:c>
      <x:c r="E10" s="31" t="str">
        <x:v>Project 1: Agent workflow</x:v>
      </x:c>
      <x:c r="F10" s="31" t="str">
        <x:v>Tool calling, planning, state, retries, governance, HITL</x:v>
      </x:c>
      <x:c r="G10" s="31" t="str">
        <x:v>Requirement → impact → test → execute → analyze agent</x:v>
      </x:c>
      <x:c r="H10" s="31" t="str">
        <x:v>Agent architecture</x:v>
      </x:c>
      <x:c r="I10" s="31" t="str">
        <x:v>Start targeted networking</x:v>
      </x:c>
      <x:c r="J10" s="31" t="n">
        <x:v>16</x:v>
      </x:c>
      <x:c r="K10" s="31" t="str">
        <x:v>Not Started</x:v>
      </x:c>
    </x:row>
    <x:row r="11">
      <x:c r="A11" s="31" t="n">
        <x:v>8</x:v>
      </x:c>
      <x:c r="B11" s="31" t="str">
        <x:v>10-Apr-2027 to 09-May-2027</x:v>
      </x:c>
      <x:c r="C11" s="31" t="str">
        <x:v>Full-stack</x:v>
      </x:c>
      <x:c r="D11" s="31" t="str">
        <x:v>25–35</x:v>
      </x:c>
      <x:c r="E11" s="31" t="str">
        <x:v>Project 3: AI Command Center</x:v>
      </x:c>
      <x:c r="F11" s="31" t="str">
        <x:v>React, TypeScript, APIs, auth, accessibility</x:v>
      </x:c>
      <x:c r="G11" s="31" t="str">
        <x:v>Dashboard for projects/models/agents/evals</x:v>
      </x:c>
      <x:c r="H11" s="31" t="str">
        <x:v>Frontend/backend boundary</x:v>
      </x:c>
      <x:c r="I11" s="31" t="str">
        <x:v>Resume v3; portfolio landing page</x:v>
      </x:c>
      <x:c r="J11" s="31" t="n">
        <x:v>16</x:v>
      </x:c>
      <x:c r="K11" s="31" t="str">
        <x:v>Not Started</x:v>
      </x:c>
    </x:row>
    <x:row r="12">
      <x:c r="A12" s="31" t="n">
        <x:v>9</x:v>
      </x:c>
      <x:c r="B12" s="31" t="str">
        <x:v>10-May-2027 to 09-Jun-2027</x:v>
      </x:c>
      <x:c r="C12" s="31" t="str">
        <x:v>Cloud + Kubernetes</x:v>
      </x:c>
      <x:c r="D12" s="31" t="str">
        <x:v>25–35</x:v>
      </x:c>
      <x:c r="E12" s="31" t="str">
        <x:v>All projects</x:v>
      </x:c>
      <x:c r="F12" s="31" t="str">
        <x:v>GCP, Docker, K8s, Pub/Sub, Cloud SQL, IAM</x:v>
      </x:c>
      <x:c r="G12" s="31" t="str">
        <x:v>CI/CD + GCP deployment</x:v>
      </x:c>
      <x:c r="H12" s="31" t="str">
        <x:v>Scalable cloud architecture</x:v>
      </x:c>
      <x:c r="I12" s="31" t="str">
        <x:v>Begin selective applications</x:v>
      </x:c>
      <x:c r="J12" s="31" t="n">
        <x:v>16</x:v>
      </x:c>
      <x:c r="K12" s="31" t="str">
        <x:v>Not Started</x:v>
      </x:c>
    </x:row>
    <x:row r="13">
      <x:c r="A13" s="31" t="n">
        <x:v>10</x:v>
      </x:c>
      <x:c r="B13" s="31" t="str">
        <x:v>10-Jun-2027 to 09-Jul-2027</x:v>
      </x:c>
      <x:c r="C13" s="31" t="str">
        <x:v>Production hardening</x:v>
      </x:c>
      <x:c r="D13" s="31" t="str">
        <x:v>20–30</x:v>
      </x:c>
      <x:c r="E13" s="31" t="str">
        <x:v>All projects</x:v>
      </x:c>
      <x:c r="F13" s="31" t="str">
        <x:v>Testing, security, observability, reliability, ML monitoring</x:v>
      </x:c>
      <x:c r="G13" s="31" t="str">
        <x:v>Metrics/logs/traces, drift, canary, rollback</x:v>
      </x:c>
      <x:c r="H13" s="31" t="str">
        <x:v>Production readiness</x:v>
      </x:c>
      <x:c r="I13" s="31" t="str">
        <x:v>Resume v4 + case studies</x:v>
      </x:c>
      <x:c r="J13" s="31" t="n">
        <x:v>16</x:v>
      </x:c>
      <x:c r="K13" s="31" t="str">
        <x:v>Not Started</x:v>
      </x:c>
    </x:row>
    <x:row r="14">
      <x:c r="A14" s="31" t="n">
        <x:v>11</x:v>
      </x:c>
      <x:c r="B14" s="31" t="str">
        <x:v>10-Jul-2027 to 09-Aug-2027</x:v>
      </x:c>
      <x:c r="C14" s="31" t="str">
        <x:v>System design + interview mode</x:v>
      </x:c>
      <x:c r="D14" s="31" t="str">
        <x:v>20–25</x:v>
      </x:c>
      <x:c r="E14" s="31" t="str">
        <x:v>Project deep-dives</x:v>
      </x:c>
      <x:c r="F14" s="31" t="str">
        <x:v>Distributed systems, AI system design, behavioral</x:v>
      </x:c>
      <x:c r="G14" s="31" t="str">
        <x:v>10+ timed system designs + stories</x:v>
      </x:c>
      <x:c r="H14" s="31" t="str">
        <x:v>Design interview mastery</x:v>
      </x:c>
      <x:c r="I14" s="31" t="str">
        <x:v>Referrals + targeted applications</x:v>
      </x:c>
      <x:c r="J14" s="31" t="n">
        <x:v>16</x:v>
      </x:c>
      <x:c r="K14" s="31" t="str">
        <x:v>Not Started</x:v>
      </x:c>
    </x:row>
    <x:row r="15">
      <x:c r="A15" s="31" t="n">
        <x:v>12</x:v>
      </x:c>
      <x:c r="B15" s="31" t="str">
        <x:v>10-Aug-2027 to 09-Sep-2027</x:v>
      </x:c>
      <x:c r="C15" s="31" t="str">
        <x:v>Google interview simulation</x:v>
      </x:c>
      <x:c r="D15" s="31" t="str">
        <x:v>15–20</x:v>
      </x:c>
      <x:c r="E15" s="31" t="str">
        <x:v>No major feature additions</x:v>
      </x:c>
      <x:c r="F15" s="31" t="str">
        <x:v>Mock interviews, DSA review, system design</x:v>
      </x:c>
      <x:c r="G15" s="31" t="str">
        <x:v>450-ish DSA, 3 projects, 10+ mocks</x:v>
      </x:c>
      <x:c r="H15" s="31" t="str">
        <x:v>Full interview simulation</x:v>
      </x:c>
      <x:c r="I15" s="31" t="str">
        <x:v>Final resume + application sprint</x:v>
      </x:c>
      <x:c r="J15" s="31" t="n">
        <x:v>16</x:v>
      </x:c>
      <x:c r="K15" s="31" t="str">
        <x:v>Not Started</x:v>
      </x:c>
    </x:row>
  </x:sheetData>
  <x:mergeCells>
    <x:mergeCell ref="A1:K1"/>
  </x:mergeCells>
  <x:dataValidations count="1">
    <x:dataValidation type="list" sqref="K4:K15">
      <x:formula1>"Not Started,In Progress,Done,Paused"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1803dba1303453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14" hidden="0" customWidth="1"/>
    <x:col min="4" max="4" width="9" hidden="0" customWidth="1"/>
    <x:col min="5" max="5" width="32" hidden="0" customWidth="1"/>
    <x:col min="6" max="6" width="16" hidden="0" customWidth="1"/>
    <x:col min="7" max="7" width="19" hidden="0" customWidth="1"/>
    <x:col min="8" max="8" width="13" hidden="0" customWidth="1"/>
    <x:col min="9" max="9" width="13" hidden="0" customWidth="1"/>
    <x:col min="10" max="10" width="12" hidden="0" customWidth="1"/>
    <x:col min="11" max="11" width="16" hidden="0" customWidth="1"/>
    <x:col min="12" max="12" width="16" hidden="0" customWidth="1"/>
  </x:cols>
  <x:sheetData>
    <x:row r="1" ht="28" customHeight="1">
      <x:c r="A1" s="5" t="str">
        <x:v>WEEKLY EXECUTION TRACKER — 52 WEEKS + FINAL DAY</x:v>
      </x:c>
    </x:row>
    <x:row r="3">
      <x:c r="A3" s="25" t="str">
        <x:v>Week</x:v>
      </x:c>
      <x:c r="B3" s="25" t="str">
        <x:v>Start</x:v>
      </x:c>
      <x:c r="C3" s="25" t="str">
        <x:v>End</x:v>
      </x:c>
      <x:c r="D3" s="25" t="str">
        <x:v>Month</x:v>
      </x:c>
      <x:c r="E3" s="25" t="str">
        <x:v>Primary Focus</x:v>
      </x:c>
      <x:c r="F3" s="25" t="str">
        <x:v>Weekly DSA Target</x:v>
      </x:c>
      <x:c r="G3" s="25" t="str">
        <x:v>Weekly Project Target</x:v>
      </x:c>
      <x:c r="H3" s="25" t="str">
        <x:v>Actual Hours</x:v>
      </x:c>
      <x:c r="I3" s="25" t="str">
        <x:v>Planned Hours</x:v>
      </x:c>
      <x:c r="J3" s="25" t="str">
        <x:v>DSA Solved</x:v>
      </x:c>
      <x:c r="K3" s="25" t="str">
        <x:v>Project Tasks Done</x:v>
      </x:c>
      <x:c r="L3" s="25" t="str">
        <x:v>Overall Status</x:v>
      </x:c>
    </x:row>
    <x:row r="4">
      <x:c r="A4" s="31" t="n">
        <x:v>1</x:v>
      </x:c>
      <x:c r="B4" s="33" t="n">
        <x:v>46275</x:v>
      </x:c>
      <x:c r="C4" s="33" t="n">
        <x:v>46281</x:v>
      </x:c>
      <x:c r="D4" s="31" t="n">
        <x:v>1</x:v>
      </x:c>
      <x:c r="E4" s="31"/>
      <x:c r="F4" s="31" t="n">
        <x:v>8</x:v>
      </x:c>
      <x:c r="G4" s="31" t="n">
        <x:v>4</x:v>
      </x:c>
      <x:c r="H4" s="31" t="n">
        <x:v>0</x:v>
      </x:c>
      <x:c r="I4" s="31" t="n">
        <x:v>16</x:v>
      </x:c>
      <x:c r="J4" s="31" t="n">
        <x:v>0</x:v>
      </x:c>
      <x:c r="K4" s="31" t="n">
        <x:v>0</x:v>
      </x:c>
      <x:c r="L4" s="31" t="str">
        <x:v>Not Started</x:v>
      </x:c>
    </x:row>
    <x:row r="5">
      <x:c r="A5" s="31" t="n">
        <x:v>2</x:v>
      </x:c>
      <x:c r="B5" s="33" t="n">
        <x:v>46282</x:v>
      </x:c>
      <x:c r="C5" s="33" t="n">
        <x:v>46288</x:v>
      </x:c>
      <x:c r="D5" s="31" t="n">
        <x:v>1</x:v>
      </x:c>
      <x:c r="E5" s="31"/>
      <x:c r="F5" s="31" t="n">
        <x:v>8</x:v>
      </x:c>
      <x:c r="G5" s="31" t="n">
        <x:v>4</x:v>
      </x:c>
      <x:c r="H5" s="31" t="n">
        <x:v>0</x:v>
      </x:c>
      <x:c r="I5" s="31" t="n">
        <x:v>16</x:v>
      </x:c>
      <x:c r="J5" s="31" t="n">
        <x:v>0</x:v>
      </x:c>
      <x:c r="K5" s="31" t="n">
        <x:v>0</x:v>
      </x:c>
      <x:c r="L5" s="31" t="str">
        <x:v>Not Started</x:v>
      </x:c>
    </x:row>
    <x:row r="6">
      <x:c r="A6" s="31" t="n">
        <x:v>3</x:v>
      </x:c>
      <x:c r="B6" s="33" t="n">
        <x:v>46289</x:v>
      </x:c>
      <x:c r="C6" s="33" t="n">
        <x:v>46295</x:v>
      </x:c>
      <x:c r="D6" s="31" t="n">
        <x:v>1</x:v>
      </x:c>
      <x:c r="E6" s="31"/>
      <x:c r="F6" s="31" t="n">
        <x:v>8</x:v>
      </x:c>
      <x:c r="G6" s="31" t="n">
        <x:v>4</x:v>
      </x:c>
      <x:c r="H6" s="31" t="n">
        <x:v>0</x:v>
      </x:c>
      <x:c r="I6" s="31" t="n">
        <x:v>16</x:v>
      </x:c>
      <x:c r="J6" s="31" t="n">
        <x:v>0</x:v>
      </x:c>
      <x:c r="K6" s="31" t="n">
        <x:v>0</x:v>
      </x:c>
      <x:c r="L6" s="31" t="str">
        <x:v>Not Started</x:v>
      </x:c>
    </x:row>
    <x:row r="7">
      <x:c r="A7" s="31" t="n">
        <x:v>4</x:v>
      </x:c>
      <x:c r="B7" s="33" t="n">
        <x:v>46296</x:v>
      </x:c>
      <x:c r="C7" s="33" t="n">
        <x:v>46302</x:v>
      </x:c>
      <x:c r="D7" s="31" t="n">
        <x:v>1</x:v>
      </x:c>
      <x:c r="E7" s="31"/>
      <x:c r="F7" s="31" t="n">
        <x:v>8</x:v>
      </x:c>
      <x:c r="G7" s="31" t="n">
        <x:v>4</x:v>
      </x:c>
      <x:c r="H7" s="31" t="n">
        <x:v>0</x:v>
      </x:c>
      <x:c r="I7" s="31" t="n">
        <x:v>16</x:v>
      </x:c>
      <x:c r="J7" s="31" t="n">
        <x:v>0</x:v>
      </x:c>
      <x:c r="K7" s="31" t="n">
        <x:v>0</x:v>
      </x:c>
      <x:c r="L7" s="31" t="str">
        <x:v>Not Started</x:v>
      </x:c>
    </x:row>
    <x:row r="8">
      <x:c r="A8" s="31" t="n">
        <x:v>5</x:v>
      </x:c>
      <x:c r="B8" s="33" t="n">
        <x:v>46303</x:v>
      </x:c>
      <x:c r="C8" s="33" t="n">
        <x:v>46309</x:v>
      </x:c>
      <x:c r="D8" s="31" t="n">
        <x:v>1</x:v>
      </x:c>
      <x:c r="E8" s="31"/>
      <x:c r="F8" s="31" t="n">
        <x:v>8</x:v>
      </x:c>
      <x:c r="G8" s="31" t="n">
        <x:v>4</x:v>
      </x:c>
      <x:c r="H8" s="31" t="n">
        <x:v>0</x:v>
      </x:c>
      <x:c r="I8" s="31" t="n">
        <x:v>16</x:v>
      </x:c>
      <x:c r="J8" s="31" t="n">
        <x:v>0</x:v>
      </x:c>
      <x:c r="K8" s="31" t="n">
        <x:v>0</x:v>
      </x:c>
      <x:c r="L8" s="31" t="str">
        <x:v>Not Started</x:v>
      </x:c>
    </x:row>
    <x:row r="9">
      <x:c r="A9" s="31" t="n">
        <x:v>6</x:v>
      </x:c>
      <x:c r="B9" s="33" t="n">
        <x:v>46310</x:v>
      </x:c>
      <x:c r="C9" s="33" t="n">
        <x:v>46316</x:v>
      </x:c>
      <x:c r="D9" s="31" t="n">
        <x:v>2</x:v>
      </x:c>
      <x:c r="E9" s="31"/>
      <x:c r="F9" s="31" t="n">
        <x:v>8</x:v>
      </x:c>
      <x:c r="G9" s="31" t="n">
        <x:v>4</x:v>
      </x:c>
      <x:c r="H9" s="31" t="n">
        <x:v>0</x:v>
      </x:c>
      <x:c r="I9" s="31" t="n">
        <x:v>16</x:v>
      </x:c>
      <x:c r="J9" s="31" t="n">
        <x:v>0</x:v>
      </x:c>
      <x:c r="K9" s="31" t="n">
        <x:v>0</x:v>
      </x:c>
      <x:c r="L9" s="31" t="str">
        <x:v>Not Started</x:v>
      </x:c>
    </x:row>
    <x:row r="10">
      <x:c r="A10" s="31" t="n">
        <x:v>7</x:v>
      </x:c>
      <x:c r="B10" s="33" t="n">
        <x:v>46317</x:v>
      </x:c>
      <x:c r="C10" s="33" t="n">
        <x:v>46323</x:v>
      </x:c>
      <x:c r="D10" s="31" t="n">
        <x:v>2</x:v>
      </x:c>
      <x:c r="E10" s="31"/>
      <x:c r="F10" s="31" t="n">
        <x:v>8</x:v>
      </x:c>
      <x:c r="G10" s="31" t="n">
        <x:v>4</x:v>
      </x:c>
      <x:c r="H10" s="31" t="n">
        <x:v>0</x:v>
      </x:c>
      <x:c r="I10" s="31" t="n">
        <x:v>16</x:v>
      </x:c>
      <x:c r="J10" s="31" t="n">
        <x:v>0</x:v>
      </x:c>
      <x:c r="K10" s="31" t="n">
        <x:v>0</x:v>
      </x:c>
      <x:c r="L10" s="31" t="str">
        <x:v>Not Started</x:v>
      </x:c>
    </x:row>
    <x:row r="11">
      <x:c r="A11" s="31" t="n">
        <x:v>8</x:v>
      </x:c>
      <x:c r="B11" s="33" t="n">
        <x:v>46324</x:v>
      </x:c>
      <x:c r="C11" s="33" t="n">
        <x:v>46330</x:v>
      </x:c>
      <x:c r="D11" s="31" t="n">
        <x:v>2</x:v>
      </x:c>
      <x:c r="E11" s="31"/>
      <x:c r="F11" s="31" t="n">
        <x:v>8</x:v>
      </x:c>
      <x:c r="G11" s="31" t="n">
        <x:v>4</x:v>
      </x:c>
      <x:c r="H11" s="31" t="n">
        <x:v>0</x:v>
      </x:c>
      <x:c r="I11" s="31" t="n">
        <x:v>16</x:v>
      </x:c>
      <x:c r="J11" s="31" t="n">
        <x:v>0</x:v>
      </x:c>
      <x:c r="K11" s="31" t="n">
        <x:v>0</x:v>
      </x:c>
      <x:c r="L11" s="31" t="str">
        <x:v>Not Started</x:v>
      </x:c>
    </x:row>
    <x:row r="12">
      <x:c r="A12" s="31" t="n">
        <x:v>9</x:v>
      </x:c>
      <x:c r="B12" s="33" t="n">
        <x:v>46331</x:v>
      </x:c>
      <x:c r="C12" s="33" t="n">
        <x:v>46337</x:v>
      </x:c>
      <x:c r="D12" s="31" t="n">
        <x:v>2</x:v>
      </x:c>
      <x:c r="E12" s="31"/>
      <x:c r="F12" s="31" t="n">
        <x:v>8</x:v>
      </x:c>
      <x:c r="G12" s="31" t="n">
        <x:v>4</x:v>
      </x:c>
      <x:c r="H12" s="31" t="n">
        <x:v>0</x:v>
      </x:c>
      <x:c r="I12" s="31" t="n">
        <x:v>16</x:v>
      </x:c>
      <x:c r="J12" s="31" t="n">
        <x:v>0</x:v>
      </x:c>
      <x:c r="K12" s="31" t="n">
        <x:v>0</x:v>
      </x:c>
      <x:c r="L12" s="31" t="str">
        <x:v>Not Started</x:v>
      </x:c>
    </x:row>
    <x:row r="13">
      <x:c r="A13" s="31" t="n">
        <x:v>10</x:v>
      </x:c>
      <x:c r="B13" s="33" t="n">
        <x:v>46338</x:v>
      </x:c>
      <x:c r="C13" s="33" t="n">
        <x:v>46344</x:v>
      </x:c>
      <x:c r="D13" s="31" t="n">
        <x:v>3</x:v>
      </x:c>
      <x:c r="E13" s="31"/>
      <x:c r="F13" s="31" t="n">
        <x:v>8</x:v>
      </x:c>
      <x:c r="G13" s="31" t="n">
        <x:v>4</x:v>
      </x:c>
      <x:c r="H13" s="31" t="n">
        <x:v>0</x:v>
      </x:c>
      <x:c r="I13" s="31" t="n">
        <x:v>16</x:v>
      </x:c>
      <x:c r="J13" s="31" t="n">
        <x:v>0</x:v>
      </x:c>
      <x:c r="K13" s="31" t="n">
        <x:v>0</x:v>
      </x:c>
      <x:c r="L13" s="31" t="str">
        <x:v>Not Started</x:v>
      </x:c>
    </x:row>
    <x:row r="14">
      <x:c r="A14" s="31" t="n">
        <x:v>11</x:v>
      </x:c>
      <x:c r="B14" s="33" t="n">
        <x:v>46345</x:v>
      </x:c>
      <x:c r="C14" s="33" t="n">
        <x:v>46351</x:v>
      </x:c>
      <x:c r="D14" s="31" t="n">
        <x:v>3</x:v>
      </x:c>
      <x:c r="E14" s="31"/>
      <x:c r="F14" s="31" t="n">
        <x:v>8</x:v>
      </x:c>
      <x:c r="G14" s="31" t="n">
        <x:v>4</x:v>
      </x:c>
      <x:c r="H14" s="31" t="n">
        <x:v>0</x:v>
      </x:c>
      <x:c r="I14" s="31" t="n">
        <x:v>16</x:v>
      </x:c>
      <x:c r="J14" s="31" t="n">
        <x:v>0</x:v>
      </x:c>
      <x:c r="K14" s="31" t="n">
        <x:v>0</x:v>
      </x:c>
      <x:c r="L14" s="31" t="str">
        <x:v>Not Started</x:v>
      </x:c>
    </x:row>
    <x:row r="15">
      <x:c r="A15" s="31" t="n">
        <x:v>12</x:v>
      </x:c>
      <x:c r="B15" s="33" t="n">
        <x:v>46352</x:v>
      </x:c>
      <x:c r="C15" s="33" t="n">
        <x:v>46358</x:v>
      </x:c>
      <x:c r="D15" s="31" t="n">
        <x:v>3</x:v>
      </x:c>
      <x:c r="E15" s="31"/>
      <x:c r="F15" s="31" t="n">
        <x:v>8</x:v>
      </x:c>
      <x:c r="G15" s="31" t="n">
        <x:v>4</x:v>
      </x:c>
      <x:c r="H15" s="31" t="n">
        <x:v>0</x:v>
      </x:c>
      <x:c r="I15" s="31" t="n">
        <x:v>16</x:v>
      </x:c>
      <x:c r="J15" s="31" t="n">
        <x:v>0</x:v>
      </x:c>
      <x:c r="K15" s="31" t="n">
        <x:v>0</x:v>
      </x:c>
      <x:c r="L15" s="31" t="str">
        <x:v>Not Started</x:v>
      </x:c>
    </x:row>
    <x:row r="16">
      <x:c r="A16" s="31" t="n">
        <x:v>13</x:v>
      </x:c>
      <x:c r="B16" s="33" t="n">
        <x:v>46359</x:v>
      </x:c>
      <x:c r="C16" s="33" t="n">
        <x:v>46365</x:v>
      </x:c>
      <x:c r="D16" s="31" t="n">
        <x:v>3</x:v>
      </x:c>
      <x:c r="E16" s="31"/>
      <x:c r="F16" s="31" t="n">
        <x:v>8</x:v>
      </x:c>
      <x:c r="G16" s="31" t="n">
        <x:v>4</x:v>
      </x:c>
      <x:c r="H16" s="31" t="n">
        <x:v>0</x:v>
      </x:c>
      <x:c r="I16" s="31" t="n">
        <x:v>16</x:v>
      </x:c>
      <x:c r="J16" s="31" t="n">
        <x:v>0</x:v>
      </x:c>
      <x:c r="K16" s="31" t="n">
        <x:v>0</x:v>
      </x:c>
      <x:c r="L16" s="31" t="str">
        <x:v>Not Started</x:v>
      </x:c>
    </x:row>
    <x:row r="17">
      <x:c r="A17" s="31" t="n">
        <x:v>14</x:v>
      </x:c>
      <x:c r="B17" s="33" t="n">
        <x:v>46366</x:v>
      </x:c>
      <x:c r="C17" s="33" t="n">
        <x:v>46372</x:v>
      </x:c>
      <x:c r="D17" s="31" t="n">
        <x:v>4</x:v>
      </x:c>
      <x:c r="E17" s="31"/>
      <x:c r="F17" s="31" t="n">
        <x:v>8</x:v>
      </x:c>
      <x:c r="G17" s="31" t="n">
        <x:v>4</x:v>
      </x:c>
      <x:c r="H17" s="31" t="n">
        <x:v>0</x:v>
      </x:c>
      <x:c r="I17" s="31" t="n">
        <x:v>16</x:v>
      </x:c>
      <x:c r="J17" s="31" t="n">
        <x:v>0</x:v>
      </x:c>
      <x:c r="K17" s="31" t="n">
        <x:v>0</x:v>
      </x:c>
      <x:c r="L17" s="31" t="str">
        <x:v>Not Started</x:v>
      </x:c>
    </x:row>
    <x:row r="18">
      <x:c r="A18" s="31" t="n">
        <x:v>15</x:v>
      </x:c>
      <x:c r="B18" s="33" t="n">
        <x:v>46373</x:v>
      </x:c>
      <x:c r="C18" s="33" t="n">
        <x:v>46379</x:v>
      </x:c>
      <x:c r="D18" s="31" t="n">
        <x:v>4</x:v>
      </x:c>
      <x:c r="E18" s="31"/>
      <x:c r="F18" s="31" t="n">
        <x:v>8</x:v>
      </x:c>
      <x:c r="G18" s="31" t="n">
        <x:v>4</x:v>
      </x:c>
      <x:c r="H18" s="31" t="n">
        <x:v>0</x:v>
      </x:c>
      <x:c r="I18" s="31" t="n">
        <x:v>16</x:v>
      </x:c>
      <x:c r="J18" s="31" t="n">
        <x:v>0</x:v>
      </x:c>
      <x:c r="K18" s="31" t="n">
        <x:v>0</x:v>
      </x:c>
      <x:c r="L18" s="31" t="str">
        <x:v>Not Started</x:v>
      </x:c>
    </x:row>
    <x:row r="19">
      <x:c r="A19" s="31" t="n">
        <x:v>16</x:v>
      </x:c>
      <x:c r="B19" s="33" t="n">
        <x:v>46380</x:v>
      </x:c>
      <x:c r="C19" s="33" t="n">
        <x:v>46386</x:v>
      </x:c>
      <x:c r="D19" s="31" t="n">
        <x:v>4</x:v>
      </x:c>
      <x:c r="E19" s="31"/>
      <x:c r="F19" s="31" t="n">
        <x:v>8</x:v>
      </x:c>
      <x:c r="G19" s="31" t="n">
        <x:v>4</x:v>
      </x:c>
      <x:c r="H19" s="31" t="n">
        <x:v>0</x:v>
      </x:c>
      <x:c r="I19" s="31" t="n">
        <x:v>16</x:v>
      </x:c>
      <x:c r="J19" s="31" t="n">
        <x:v>0</x:v>
      </x:c>
      <x:c r="K19" s="31" t="n">
        <x:v>0</x:v>
      </x:c>
      <x:c r="L19" s="31" t="str">
        <x:v>Not Started</x:v>
      </x:c>
    </x:row>
    <x:row r="20">
      <x:c r="A20" s="31" t="n">
        <x:v>17</x:v>
      </x:c>
      <x:c r="B20" s="33" t="n">
        <x:v>46387</x:v>
      </x:c>
      <x:c r="C20" s="33" t="n">
        <x:v>46393</x:v>
      </x:c>
      <x:c r="D20" s="31" t="n">
        <x:v>4</x:v>
      </x:c>
      <x:c r="E20" s="31"/>
      <x:c r="F20" s="31" t="n">
        <x:v>8</x:v>
      </x:c>
      <x:c r="G20" s="31" t="n">
        <x:v>4</x:v>
      </x:c>
      <x:c r="H20" s="31" t="n">
        <x:v>0</x:v>
      </x:c>
      <x:c r="I20" s="31" t="n">
        <x:v>16</x:v>
      </x:c>
      <x:c r="J20" s="31" t="n">
        <x:v>0</x:v>
      </x:c>
      <x:c r="K20" s="31" t="n">
        <x:v>0</x:v>
      </x:c>
      <x:c r="L20" s="31" t="str">
        <x:v>Not Started</x:v>
      </x:c>
    </x:row>
    <x:row r="21">
      <x:c r="A21" s="31" t="n">
        <x:v>18</x:v>
      </x:c>
      <x:c r="B21" s="33" t="n">
        <x:v>46394</x:v>
      </x:c>
      <x:c r="C21" s="33" t="n">
        <x:v>46400</x:v>
      </x:c>
      <x:c r="D21" s="31" t="n">
        <x:v>4</x:v>
      </x:c>
      <x:c r="E21" s="31"/>
      <x:c r="F21" s="31" t="n">
        <x:v>8</x:v>
      </x:c>
      <x:c r="G21" s="31" t="n">
        <x:v>4</x:v>
      </x:c>
      <x:c r="H21" s="31" t="n">
        <x:v>0</x:v>
      </x:c>
      <x:c r="I21" s="31" t="n">
        <x:v>16</x:v>
      </x:c>
      <x:c r="J21" s="31" t="n">
        <x:v>0</x:v>
      </x:c>
      <x:c r="K21" s="31" t="n">
        <x:v>0</x:v>
      </x:c>
      <x:c r="L21" s="31" t="str">
        <x:v>Not Started</x:v>
      </x:c>
    </x:row>
    <x:row r="22">
      <x:c r="A22" s="31" t="n">
        <x:v>19</x:v>
      </x:c>
      <x:c r="B22" s="33" t="n">
        <x:v>46401</x:v>
      </x:c>
      <x:c r="C22" s="33" t="n">
        <x:v>46407</x:v>
      </x:c>
      <x:c r="D22" s="31" t="n">
        <x:v>5</x:v>
      </x:c>
      <x:c r="E22" s="31"/>
      <x:c r="F22" s="31" t="n">
        <x:v>8</x:v>
      </x:c>
      <x:c r="G22" s="31" t="n">
        <x:v>4</x:v>
      </x:c>
      <x:c r="H22" s="31" t="n">
        <x:v>0</x:v>
      </x:c>
      <x:c r="I22" s="31" t="n">
        <x:v>16</x:v>
      </x:c>
      <x:c r="J22" s="31" t="n">
        <x:v>0</x:v>
      </x:c>
      <x:c r="K22" s="31" t="n">
        <x:v>0</x:v>
      </x:c>
      <x:c r="L22" s="31" t="str">
        <x:v>Not Started</x:v>
      </x:c>
    </x:row>
    <x:row r="23">
      <x:c r="A23" s="31" t="n">
        <x:v>20</x:v>
      </x:c>
      <x:c r="B23" s="33" t="n">
        <x:v>46408</x:v>
      </x:c>
      <x:c r="C23" s="33" t="n">
        <x:v>46414</x:v>
      </x:c>
      <x:c r="D23" s="31" t="n">
        <x:v>5</x:v>
      </x:c>
      <x:c r="E23" s="31"/>
      <x:c r="F23" s="31" t="n">
        <x:v>8</x:v>
      </x:c>
      <x:c r="G23" s="31" t="n">
        <x:v>4</x:v>
      </x:c>
      <x:c r="H23" s="31" t="n">
        <x:v>0</x:v>
      </x:c>
      <x:c r="I23" s="31" t="n">
        <x:v>16</x:v>
      </x:c>
      <x:c r="J23" s="31" t="n">
        <x:v>0</x:v>
      </x:c>
      <x:c r="K23" s="31" t="n">
        <x:v>0</x:v>
      </x:c>
      <x:c r="L23" s="31" t="str">
        <x:v>Not Started</x:v>
      </x:c>
    </x:row>
    <x:row r="24">
      <x:c r="A24" s="31" t="n">
        <x:v>21</x:v>
      </x:c>
      <x:c r="B24" s="33" t="n">
        <x:v>46415</x:v>
      </x:c>
      <x:c r="C24" s="33" t="n">
        <x:v>46421</x:v>
      </x:c>
      <x:c r="D24" s="31" t="n">
        <x:v>5</x:v>
      </x:c>
      <x:c r="E24" s="31"/>
      <x:c r="F24" s="31" t="n">
        <x:v>8</x:v>
      </x:c>
      <x:c r="G24" s="31" t="n">
        <x:v>4</x:v>
      </x:c>
      <x:c r="H24" s="31" t="n">
        <x:v>0</x:v>
      </x:c>
      <x:c r="I24" s="31" t="n">
        <x:v>16</x:v>
      </x:c>
      <x:c r="J24" s="31" t="n">
        <x:v>0</x:v>
      </x:c>
      <x:c r="K24" s="31" t="n">
        <x:v>0</x:v>
      </x:c>
      <x:c r="L24" s="31" t="str">
        <x:v>Not Started</x:v>
      </x:c>
    </x:row>
    <x:row r="25">
      <x:c r="A25" s="31" t="n">
        <x:v>22</x:v>
      </x:c>
      <x:c r="B25" s="33" t="n">
        <x:v>46422</x:v>
      </x:c>
      <x:c r="C25" s="33" t="n">
        <x:v>46428</x:v>
      </x:c>
      <x:c r="D25" s="31" t="n">
        <x:v>5</x:v>
      </x:c>
      <x:c r="E25" s="31"/>
      <x:c r="F25" s="31" t="n">
        <x:v>8</x:v>
      </x:c>
      <x:c r="G25" s="31" t="n">
        <x:v>4</x:v>
      </x:c>
      <x:c r="H25" s="31" t="n">
        <x:v>0</x:v>
      </x:c>
      <x:c r="I25" s="31" t="n">
        <x:v>16</x:v>
      </x:c>
      <x:c r="J25" s="31" t="n">
        <x:v>0</x:v>
      </x:c>
      <x:c r="K25" s="31" t="n">
        <x:v>0</x:v>
      </x:c>
      <x:c r="L25" s="31" t="str">
        <x:v>Not Started</x:v>
      </x:c>
    </x:row>
    <x:row r="26">
      <x:c r="A26" s="31" t="n">
        <x:v>23</x:v>
      </x:c>
      <x:c r="B26" s="33" t="n">
        <x:v>46429</x:v>
      </x:c>
      <x:c r="C26" s="33" t="n">
        <x:v>46435</x:v>
      </x:c>
      <x:c r="D26" s="31" t="n">
        <x:v>6</x:v>
      </x:c>
      <x:c r="E26" s="31"/>
      <x:c r="F26" s="31" t="n">
        <x:v>8</x:v>
      </x:c>
      <x:c r="G26" s="31" t="n">
        <x:v>4</x:v>
      </x:c>
      <x:c r="H26" s="31" t="n">
        <x:v>0</x:v>
      </x:c>
      <x:c r="I26" s="31" t="n">
        <x:v>16</x:v>
      </x:c>
      <x:c r="J26" s="31" t="n">
        <x:v>0</x:v>
      </x:c>
      <x:c r="K26" s="31" t="n">
        <x:v>0</x:v>
      </x:c>
      <x:c r="L26" s="31" t="str">
        <x:v>Not Started</x:v>
      </x:c>
    </x:row>
    <x:row r="27">
      <x:c r="A27" s="31" t="n">
        <x:v>24</x:v>
      </x:c>
      <x:c r="B27" s="33" t="n">
        <x:v>46436</x:v>
      </x:c>
      <x:c r="C27" s="33" t="n">
        <x:v>46442</x:v>
      </x:c>
      <x:c r="D27" s="31" t="n">
        <x:v>6</x:v>
      </x:c>
      <x:c r="E27" s="31"/>
      <x:c r="F27" s="31" t="n">
        <x:v>8</x:v>
      </x:c>
      <x:c r="G27" s="31" t="n">
        <x:v>4</x:v>
      </x:c>
      <x:c r="H27" s="31" t="n">
        <x:v>0</x:v>
      </x:c>
      <x:c r="I27" s="31" t="n">
        <x:v>16</x:v>
      </x:c>
      <x:c r="J27" s="31" t="n">
        <x:v>0</x:v>
      </x:c>
      <x:c r="K27" s="31" t="n">
        <x:v>0</x:v>
      </x:c>
      <x:c r="L27" s="31" t="str">
        <x:v>Not Started</x:v>
      </x:c>
    </x:row>
    <x:row r="28">
      <x:c r="A28" s="31" t="n">
        <x:v>25</x:v>
      </x:c>
      <x:c r="B28" s="33" t="n">
        <x:v>46443</x:v>
      </x:c>
      <x:c r="C28" s="33" t="n">
        <x:v>46449</x:v>
      </x:c>
      <x:c r="D28" s="31" t="n">
        <x:v>6</x:v>
      </x:c>
      <x:c r="E28" s="31"/>
      <x:c r="F28" s="31" t="n">
        <x:v>8</x:v>
      </x:c>
      <x:c r="G28" s="31" t="n">
        <x:v>4</x:v>
      </x:c>
      <x:c r="H28" s="31" t="n">
        <x:v>0</x:v>
      </x:c>
      <x:c r="I28" s="31" t="n">
        <x:v>16</x:v>
      </x:c>
      <x:c r="J28" s="31" t="n">
        <x:v>0</x:v>
      </x:c>
      <x:c r="K28" s="31" t="n">
        <x:v>0</x:v>
      </x:c>
      <x:c r="L28" s="31" t="str">
        <x:v>Not Started</x:v>
      </x:c>
    </x:row>
    <x:row r="29">
      <x:c r="A29" s="31" t="n">
        <x:v>26</x:v>
      </x:c>
      <x:c r="B29" s="33" t="n">
        <x:v>46450</x:v>
      </x:c>
      <x:c r="C29" s="33" t="n">
        <x:v>46456</x:v>
      </x:c>
      <x:c r="D29" s="31" t="n">
        <x:v>6</x:v>
      </x:c>
      <x:c r="E29" s="31"/>
      <x:c r="F29" s="31" t="n">
        <x:v>8</x:v>
      </x:c>
      <x:c r="G29" s="31" t="n">
        <x:v>4</x:v>
      </x:c>
      <x:c r="H29" s="31" t="n">
        <x:v>0</x:v>
      </x:c>
      <x:c r="I29" s="31" t="n">
        <x:v>16</x:v>
      </x:c>
      <x:c r="J29" s="31" t="n">
        <x:v>0</x:v>
      </x:c>
      <x:c r="K29" s="31" t="n">
        <x:v>0</x:v>
      </x:c>
      <x:c r="L29" s="31" t="str">
        <x:v>Not Started</x:v>
      </x:c>
    </x:row>
    <x:row r="30">
      <x:c r="A30" s="31" t="n">
        <x:v>27</x:v>
      </x:c>
      <x:c r="B30" s="33" t="n">
        <x:v>46457</x:v>
      </x:c>
      <x:c r="C30" s="33" t="n">
        <x:v>46463</x:v>
      </x:c>
      <x:c r="D30" s="31" t="n">
        <x:v>7</x:v>
      </x:c>
      <x:c r="E30" s="31"/>
      <x:c r="F30" s="31" t="n">
        <x:v>8</x:v>
      </x:c>
      <x:c r="G30" s="31" t="n">
        <x:v>4</x:v>
      </x:c>
      <x:c r="H30" s="31" t="n">
        <x:v>0</x:v>
      </x:c>
      <x:c r="I30" s="31" t="n">
        <x:v>16</x:v>
      </x:c>
      <x:c r="J30" s="31" t="n">
        <x:v>0</x:v>
      </x:c>
      <x:c r="K30" s="31" t="n">
        <x:v>0</x:v>
      </x:c>
      <x:c r="L30" s="31" t="str">
        <x:v>Not Started</x:v>
      </x:c>
    </x:row>
    <x:row r="31">
      <x:c r="A31" s="31" t="n">
        <x:v>28</x:v>
      </x:c>
      <x:c r="B31" s="33" t="n">
        <x:v>46464</x:v>
      </x:c>
      <x:c r="C31" s="33" t="n">
        <x:v>46470</x:v>
      </x:c>
      <x:c r="D31" s="31" t="n">
        <x:v>7</x:v>
      </x:c>
      <x:c r="E31" s="31"/>
      <x:c r="F31" s="31" t="n">
        <x:v>8</x:v>
      </x:c>
      <x:c r="G31" s="31" t="n">
        <x:v>4</x:v>
      </x:c>
      <x:c r="H31" s="31" t="n">
        <x:v>0</x:v>
      </x:c>
      <x:c r="I31" s="31" t="n">
        <x:v>16</x:v>
      </x:c>
      <x:c r="J31" s="31" t="n">
        <x:v>0</x:v>
      </x:c>
      <x:c r="K31" s="31" t="n">
        <x:v>0</x:v>
      </x:c>
      <x:c r="L31" s="31" t="str">
        <x:v>Not Started</x:v>
      </x:c>
    </x:row>
    <x:row r="32">
      <x:c r="A32" s="31" t="n">
        <x:v>29</x:v>
      </x:c>
      <x:c r="B32" s="33" t="n">
        <x:v>46471</x:v>
      </x:c>
      <x:c r="C32" s="33" t="n">
        <x:v>46477</x:v>
      </x:c>
      <x:c r="D32" s="31" t="n">
        <x:v>7</x:v>
      </x:c>
      <x:c r="E32" s="31"/>
      <x:c r="F32" s="31" t="n">
        <x:v>8</x:v>
      </x:c>
      <x:c r="G32" s="31" t="n">
        <x:v>4</x:v>
      </x:c>
      <x:c r="H32" s="31" t="n">
        <x:v>0</x:v>
      </x:c>
      <x:c r="I32" s="31" t="n">
        <x:v>16</x:v>
      </x:c>
      <x:c r="J32" s="31" t="n">
        <x:v>0</x:v>
      </x:c>
      <x:c r="K32" s="31" t="n">
        <x:v>0</x:v>
      </x:c>
      <x:c r="L32" s="31" t="str">
        <x:v>Not Started</x:v>
      </x:c>
    </x:row>
    <x:row r="33">
      <x:c r="A33" s="31" t="n">
        <x:v>30</x:v>
      </x:c>
      <x:c r="B33" s="33" t="n">
        <x:v>46478</x:v>
      </x:c>
      <x:c r="C33" s="33" t="n">
        <x:v>46484</x:v>
      </x:c>
      <x:c r="D33" s="31" t="n">
        <x:v>7</x:v>
      </x:c>
      <x:c r="E33" s="31"/>
      <x:c r="F33" s="31" t="n">
        <x:v>8</x:v>
      </x:c>
      <x:c r="G33" s="31" t="n">
        <x:v>4</x:v>
      </x:c>
      <x:c r="H33" s="31" t="n">
        <x:v>0</x:v>
      </x:c>
      <x:c r="I33" s="31" t="n">
        <x:v>16</x:v>
      </x:c>
      <x:c r="J33" s="31" t="n">
        <x:v>0</x:v>
      </x:c>
      <x:c r="K33" s="31" t="n">
        <x:v>0</x:v>
      </x:c>
      <x:c r="L33" s="31" t="str">
        <x:v>Not Started</x:v>
      </x:c>
    </x:row>
    <x:row r="34">
      <x:c r="A34" s="31" t="n">
        <x:v>31</x:v>
      </x:c>
      <x:c r="B34" s="33" t="n">
        <x:v>46485</x:v>
      </x:c>
      <x:c r="C34" s="33" t="n">
        <x:v>46491</x:v>
      </x:c>
      <x:c r="D34" s="31" t="n">
        <x:v>7</x:v>
      </x:c>
      <x:c r="E34" s="31"/>
      <x:c r="F34" s="31" t="n">
        <x:v>8</x:v>
      </x:c>
      <x:c r="G34" s="31" t="n">
        <x:v>4</x:v>
      </x:c>
      <x:c r="H34" s="31" t="n">
        <x:v>0</x:v>
      </x:c>
      <x:c r="I34" s="31" t="n">
        <x:v>16</x:v>
      </x:c>
      <x:c r="J34" s="31" t="n">
        <x:v>0</x:v>
      </x:c>
      <x:c r="K34" s="31" t="n">
        <x:v>0</x:v>
      </x:c>
      <x:c r="L34" s="31" t="str">
        <x:v>Not Started</x:v>
      </x:c>
    </x:row>
    <x:row r="35">
      <x:c r="A35" s="31" t="n">
        <x:v>32</x:v>
      </x:c>
      <x:c r="B35" s="33" t="n">
        <x:v>46492</x:v>
      </x:c>
      <x:c r="C35" s="33" t="n">
        <x:v>46498</x:v>
      </x:c>
      <x:c r="D35" s="31" t="n">
        <x:v>8</x:v>
      </x:c>
      <x:c r="E35" s="31"/>
      <x:c r="F35" s="31" t="n">
        <x:v>8</x:v>
      </x:c>
      <x:c r="G35" s="31" t="n">
        <x:v>4</x:v>
      </x:c>
      <x:c r="H35" s="31" t="n">
        <x:v>0</x:v>
      </x:c>
      <x:c r="I35" s="31" t="n">
        <x:v>16</x:v>
      </x:c>
      <x:c r="J35" s="31" t="n">
        <x:v>0</x:v>
      </x:c>
      <x:c r="K35" s="31" t="n">
        <x:v>0</x:v>
      </x:c>
      <x:c r="L35" s="31" t="str">
        <x:v>Not Started</x:v>
      </x:c>
    </x:row>
    <x:row r="36">
      <x:c r="A36" s="31" t="n">
        <x:v>33</x:v>
      </x:c>
      <x:c r="B36" s="33" t="n">
        <x:v>46499</x:v>
      </x:c>
      <x:c r="C36" s="33" t="n">
        <x:v>46505</x:v>
      </x:c>
      <x:c r="D36" s="31" t="n">
        <x:v>8</x:v>
      </x:c>
      <x:c r="E36" s="31"/>
      <x:c r="F36" s="31" t="n">
        <x:v>8</x:v>
      </x:c>
      <x:c r="G36" s="31" t="n">
        <x:v>4</x:v>
      </x:c>
      <x:c r="H36" s="31" t="n">
        <x:v>0</x:v>
      </x:c>
      <x:c r="I36" s="31" t="n">
        <x:v>16</x:v>
      </x:c>
      <x:c r="J36" s="31" t="n">
        <x:v>0</x:v>
      </x:c>
      <x:c r="K36" s="31" t="n">
        <x:v>0</x:v>
      </x:c>
      <x:c r="L36" s="31" t="str">
        <x:v>Not Started</x:v>
      </x:c>
    </x:row>
    <x:row r="37">
      <x:c r="A37" s="31" t="n">
        <x:v>34</x:v>
      </x:c>
      <x:c r="B37" s="33" t="n">
        <x:v>46506</x:v>
      </x:c>
      <x:c r="C37" s="33" t="n">
        <x:v>46512</x:v>
      </x:c>
      <x:c r="D37" s="31" t="n">
        <x:v>8</x:v>
      </x:c>
      <x:c r="E37" s="31"/>
      <x:c r="F37" s="31" t="n">
        <x:v>8</x:v>
      </x:c>
      <x:c r="G37" s="31" t="n">
        <x:v>4</x:v>
      </x:c>
      <x:c r="H37" s="31" t="n">
        <x:v>0</x:v>
      </x:c>
      <x:c r="I37" s="31" t="n">
        <x:v>16</x:v>
      </x:c>
      <x:c r="J37" s="31" t="n">
        <x:v>0</x:v>
      </x:c>
      <x:c r="K37" s="31" t="n">
        <x:v>0</x:v>
      </x:c>
      <x:c r="L37" s="31" t="str">
        <x:v>Not Started</x:v>
      </x:c>
    </x:row>
    <x:row r="38">
      <x:c r="A38" s="31" t="n">
        <x:v>35</x:v>
      </x:c>
      <x:c r="B38" s="33" t="n">
        <x:v>46513</x:v>
      </x:c>
      <x:c r="C38" s="33" t="n">
        <x:v>46519</x:v>
      </x:c>
      <x:c r="D38" s="31" t="n">
        <x:v>8</x:v>
      </x:c>
      <x:c r="E38" s="31"/>
      <x:c r="F38" s="31" t="n">
        <x:v>8</x:v>
      </x:c>
      <x:c r="G38" s="31" t="n">
        <x:v>4</x:v>
      </x:c>
      <x:c r="H38" s="31" t="n">
        <x:v>0</x:v>
      </x:c>
      <x:c r="I38" s="31" t="n">
        <x:v>16</x:v>
      </x:c>
      <x:c r="J38" s="31" t="n">
        <x:v>0</x:v>
      </x:c>
      <x:c r="K38" s="31" t="n">
        <x:v>0</x:v>
      </x:c>
      <x:c r="L38" s="31" t="str">
        <x:v>Not Started</x:v>
      </x:c>
    </x:row>
    <x:row r="39">
      <x:c r="A39" s="31" t="n">
        <x:v>36</x:v>
      </x:c>
      <x:c r="B39" s="33" t="n">
        <x:v>46520</x:v>
      </x:c>
      <x:c r="C39" s="33" t="n">
        <x:v>46526</x:v>
      </x:c>
      <x:c r="D39" s="31" t="n">
        <x:v>9</x:v>
      </x:c>
      <x:c r="E39" s="31"/>
      <x:c r="F39" s="31" t="n">
        <x:v>8</x:v>
      </x:c>
      <x:c r="G39" s="31" t="n">
        <x:v>4</x:v>
      </x:c>
      <x:c r="H39" s="31" t="n">
        <x:v>0</x:v>
      </x:c>
      <x:c r="I39" s="31" t="n">
        <x:v>16</x:v>
      </x:c>
      <x:c r="J39" s="31" t="n">
        <x:v>0</x:v>
      </x:c>
      <x:c r="K39" s="31" t="n">
        <x:v>0</x:v>
      </x:c>
      <x:c r="L39" s="31" t="str">
        <x:v>Not Started</x:v>
      </x:c>
    </x:row>
    <x:row r="40">
      <x:c r="A40" s="31" t="n">
        <x:v>37</x:v>
      </x:c>
      <x:c r="B40" s="33" t="n">
        <x:v>46527</x:v>
      </x:c>
      <x:c r="C40" s="33" t="n">
        <x:v>46533</x:v>
      </x:c>
      <x:c r="D40" s="31" t="n">
        <x:v>9</x:v>
      </x:c>
      <x:c r="E40" s="31"/>
      <x:c r="F40" s="31" t="n">
        <x:v>8</x:v>
      </x:c>
      <x:c r="G40" s="31" t="n">
        <x:v>4</x:v>
      </x:c>
      <x:c r="H40" s="31" t="n">
        <x:v>0</x:v>
      </x:c>
      <x:c r="I40" s="31" t="n">
        <x:v>16</x:v>
      </x:c>
      <x:c r="J40" s="31" t="n">
        <x:v>0</x:v>
      </x:c>
      <x:c r="K40" s="31" t="n">
        <x:v>0</x:v>
      </x:c>
      <x:c r="L40" s="31" t="str">
        <x:v>Not Started</x:v>
      </x:c>
    </x:row>
    <x:row r="41">
      <x:c r="A41" s="31" t="n">
        <x:v>38</x:v>
      </x:c>
      <x:c r="B41" s="33" t="n">
        <x:v>46534</x:v>
      </x:c>
      <x:c r="C41" s="33" t="n">
        <x:v>46540</x:v>
      </x:c>
      <x:c r="D41" s="31" t="n">
        <x:v>9</x:v>
      </x:c>
      <x:c r="E41" s="31"/>
      <x:c r="F41" s="31" t="n">
        <x:v>8</x:v>
      </x:c>
      <x:c r="G41" s="31" t="n">
        <x:v>4</x:v>
      </x:c>
      <x:c r="H41" s="31" t="n">
        <x:v>0</x:v>
      </x:c>
      <x:c r="I41" s="31" t="n">
        <x:v>16</x:v>
      </x:c>
      <x:c r="J41" s="31" t="n">
        <x:v>0</x:v>
      </x:c>
      <x:c r="K41" s="31" t="n">
        <x:v>0</x:v>
      </x:c>
      <x:c r="L41" s="31" t="str">
        <x:v>Not Started</x:v>
      </x:c>
    </x:row>
    <x:row r="42">
      <x:c r="A42" s="31" t="n">
        <x:v>39</x:v>
      </x:c>
      <x:c r="B42" s="33" t="n">
        <x:v>46541</x:v>
      </x:c>
      <x:c r="C42" s="33" t="n">
        <x:v>46547</x:v>
      </x:c>
      <x:c r="D42" s="31" t="n">
        <x:v>9</x:v>
      </x:c>
      <x:c r="E42" s="31"/>
      <x:c r="F42" s="31" t="n">
        <x:v>8</x:v>
      </x:c>
      <x:c r="G42" s="31" t="n">
        <x:v>4</x:v>
      </x:c>
      <x:c r="H42" s="31" t="n">
        <x:v>0</x:v>
      </x:c>
      <x:c r="I42" s="31" t="n">
        <x:v>16</x:v>
      </x:c>
      <x:c r="J42" s="31" t="n">
        <x:v>0</x:v>
      </x:c>
      <x:c r="K42" s="31" t="n">
        <x:v>0</x:v>
      </x:c>
      <x:c r="L42" s="31" t="str">
        <x:v>Not Started</x:v>
      </x:c>
    </x:row>
    <x:row r="43">
      <x:c r="A43" s="31" t="n">
        <x:v>40</x:v>
      </x:c>
      <x:c r="B43" s="33" t="n">
        <x:v>46548</x:v>
      </x:c>
      <x:c r="C43" s="33" t="n">
        <x:v>46554</x:v>
      </x:c>
      <x:c r="D43" s="31" t="n">
        <x:v>10</x:v>
      </x:c>
      <x:c r="E43" s="31"/>
      <x:c r="F43" s="31" t="n">
        <x:v>8</x:v>
      </x:c>
      <x:c r="G43" s="31" t="n">
        <x:v>4</x:v>
      </x:c>
      <x:c r="H43" s="31" t="n">
        <x:v>0</x:v>
      </x:c>
      <x:c r="I43" s="31" t="n">
        <x:v>16</x:v>
      </x:c>
      <x:c r="J43" s="31" t="n">
        <x:v>0</x:v>
      </x:c>
      <x:c r="K43" s="31" t="n">
        <x:v>0</x:v>
      </x:c>
      <x:c r="L43" s="31" t="str">
        <x:v>Not Started</x:v>
      </x:c>
    </x:row>
    <x:row r="44">
      <x:c r="A44" s="31" t="n">
        <x:v>41</x:v>
      </x:c>
      <x:c r="B44" s="33" t="n">
        <x:v>46555</x:v>
      </x:c>
      <x:c r="C44" s="33" t="n">
        <x:v>46561</x:v>
      </x:c>
      <x:c r="D44" s="31" t="n">
        <x:v>10</x:v>
      </x:c>
      <x:c r="E44" s="31"/>
      <x:c r="F44" s="31" t="n">
        <x:v>8</x:v>
      </x:c>
      <x:c r="G44" s="31" t="n">
        <x:v>4</x:v>
      </x:c>
      <x:c r="H44" s="31" t="n">
        <x:v>0</x:v>
      </x:c>
      <x:c r="I44" s="31" t="n">
        <x:v>16</x:v>
      </x:c>
      <x:c r="J44" s="31" t="n">
        <x:v>0</x:v>
      </x:c>
      <x:c r="K44" s="31" t="n">
        <x:v>0</x:v>
      </x:c>
      <x:c r="L44" s="31" t="str">
        <x:v>Not Started</x:v>
      </x:c>
    </x:row>
    <x:row r="45">
      <x:c r="A45" s="31" t="n">
        <x:v>42</x:v>
      </x:c>
      <x:c r="B45" s="33" t="n">
        <x:v>46562</x:v>
      </x:c>
      <x:c r="C45" s="33" t="n">
        <x:v>46568</x:v>
      </x:c>
      <x:c r="D45" s="31" t="n">
        <x:v>10</x:v>
      </x:c>
      <x:c r="E45" s="31"/>
      <x:c r="F45" s="31" t="n">
        <x:v>8</x:v>
      </x:c>
      <x:c r="G45" s="31" t="n">
        <x:v>4</x:v>
      </x:c>
      <x:c r="H45" s="31" t="n">
        <x:v>0</x:v>
      </x:c>
      <x:c r="I45" s="31" t="n">
        <x:v>16</x:v>
      </x:c>
      <x:c r="J45" s="31" t="n">
        <x:v>0</x:v>
      </x:c>
      <x:c r="K45" s="31" t="n">
        <x:v>0</x:v>
      </x:c>
      <x:c r="L45" s="31" t="str">
        <x:v>Not Started</x:v>
      </x:c>
    </x:row>
    <x:row r="46">
      <x:c r="A46" s="31" t="n">
        <x:v>43</x:v>
      </x:c>
      <x:c r="B46" s="33" t="n">
        <x:v>46569</x:v>
      </x:c>
      <x:c r="C46" s="33" t="n">
        <x:v>46575</x:v>
      </x:c>
      <x:c r="D46" s="31" t="n">
        <x:v>10</x:v>
      </x:c>
      <x:c r="E46" s="31"/>
      <x:c r="F46" s="31" t="n">
        <x:v>8</x:v>
      </x:c>
      <x:c r="G46" s="31" t="n">
        <x:v>4</x:v>
      </x:c>
      <x:c r="H46" s="31" t="n">
        <x:v>0</x:v>
      </x:c>
      <x:c r="I46" s="31" t="n">
        <x:v>16</x:v>
      </x:c>
      <x:c r="J46" s="31" t="n">
        <x:v>0</x:v>
      </x:c>
      <x:c r="K46" s="31" t="n">
        <x:v>0</x:v>
      </x:c>
      <x:c r="L46" s="31" t="str">
        <x:v>Not Started</x:v>
      </x:c>
    </x:row>
    <x:row r="47">
      <x:c r="A47" s="31" t="n">
        <x:v>44</x:v>
      </x:c>
      <x:c r="B47" s="33" t="n">
        <x:v>46576</x:v>
      </x:c>
      <x:c r="C47" s="33" t="n">
        <x:v>46582</x:v>
      </x:c>
      <x:c r="D47" s="31" t="n">
        <x:v>10</x:v>
      </x:c>
      <x:c r="E47" s="31"/>
      <x:c r="F47" s="31" t="n">
        <x:v>8</x:v>
      </x:c>
      <x:c r="G47" s="31" t="n">
        <x:v>4</x:v>
      </x:c>
      <x:c r="H47" s="31" t="n">
        <x:v>0</x:v>
      </x:c>
      <x:c r="I47" s="31" t="n">
        <x:v>16</x:v>
      </x:c>
      <x:c r="J47" s="31" t="n">
        <x:v>0</x:v>
      </x:c>
      <x:c r="K47" s="31" t="n">
        <x:v>0</x:v>
      </x:c>
      <x:c r="L47" s="31" t="str">
        <x:v>Not Started</x:v>
      </x:c>
    </x:row>
    <x:row r="48">
      <x:c r="A48" s="31" t="n">
        <x:v>45</x:v>
      </x:c>
      <x:c r="B48" s="33" t="n">
        <x:v>46583</x:v>
      </x:c>
      <x:c r="C48" s="33" t="n">
        <x:v>46589</x:v>
      </x:c>
      <x:c r="D48" s="31" t="n">
        <x:v>11</x:v>
      </x:c>
      <x:c r="E48" s="31"/>
      <x:c r="F48" s="31" t="n">
        <x:v>8</x:v>
      </x:c>
      <x:c r="G48" s="31" t="n">
        <x:v>4</x:v>
      </x:c>
      <x:c r="H48" s="31" t="n">
        <x:v>0</x:v>
      </x:c>
      <x:c r="I48" s="31" t="n">
        <x:v>16</x:v>
      </x:c>
      <x:c r="J48" s="31" t="n">
        <x:v>0</x:v>
      </x:c>
      <x:c r="K48" s="31" t="n">
        <x:v>0</x:v>
      </x:c>
      <x:c r="L48" s="31" t="str">
        <x:v>Not Started</x:v>
      </x:c>
    </x:row>
    <x:row r="49">
      <x:c r="A49" s="31" t="n">
        <x:v>46</x:v>
      </x:c>
      <x:c r="B49" s="33" t="n">
        <x:v>46590</x:v>
      </x:c>
      <x:c r="C49" s="33" t="n">
        <x:v>46596</x:v>
      </x:c>
      <x:c r="D49" s="31" t="n">
        <x:v>11</x:v>
      </x:c>
      <x:c r="E49" s="31"/>
      <x:c r="F49" s="31" t="n">
        <x:v>8</x:v>
      </x:c>
      <x:c r="G49" s="31" t="n">
        <x:v>4</x:v>
      </x:c>
      <x:c r="H49" s="31" t="n">
        <x:v>0</x:v>
      </x:c>
      <x:c r="I49" s="31" t="n">
        <x:v>16</x:v>
      </x:c>
      <x:c r="J49" s="31" t="n">
        <x:v>0</x:v>
      </x:c>
      <x:c r="K49" s="31" t="n">
        <x:v>0</x:v>
      </x:c>
      <x:c r="L49" s="31" t="str">
        <x:v>Not Started</x:v>
      </x:c>
    </x:row>
    <x:row r="50">
      <x:c r="A50" s="31" t="n">
        <x:v>47</x:v>
      </x:c>
      <x:c r="B50" s="33" t="n">
        <x:v>46597</x:v>
      </x:c>
      <x:c r="C50" s="33" t="n">
        <x:v>46603</x:v>
      </x:c>
      <x:c r="D50" s="31" t="n">
        <x:v>11</x:v>
      </x:c>
      <x:c r="E50" s="31"/>
      <x:c r="F50" s="31" t="n">
        <x:v>8</x:v>
      </x:c>
      <x:c r="G50" s="31" t="n">
        <x:v>4</x:v>
      </x:c>
      <x:c r="H50" s="31" t="n">
        <x:v>0</x:v>
      </x:c>
      <x:c r="I50" s="31" t="n">
        <x:v>16</x:v>
      </x:c>
      <x:c r="J50" s="31" t="n">
        <x:v>0</x:v>
      </x:c>
      <x:c r="K50" s="31" t="n">
        <x:v>0</x:v>
      </x:c>
      <x:c r="L50" s="31" t="str">
        <x:v>Not Started</x:v>
      </x:c>
    </x:row>
    <x:row r="51">
      <x:c r="A51" s="31" t="n">
        <x:v>48</x:v>
      </x:c>
      <x:c r="B51" s="33" t="n">
        <x:v>46604</x:v>
      </x:c>
      <x:c r="C51" s="33" t="n">
        <x:v>46610</x:v>
      </x:c>
      <x:c r="D51" s="31" t="n">
        <x:v>11</x:v>
      </x:c>
      <x:c r="E51" s="31"/>
      <x:c r="F51" s="31" t="n">
        <x:v>8</x:v>
      </x:c>
      <x:c r="G51" s="31" t="n">
        <x:v>4</x:v>
      </x:c>
      <x:c r="H51" s="31" t="n">
        <x:v>0</x:v>
      </x:c>
      <x:c r="I51" s="31" t="n">
        <x:v>16</x:v>
      </x:c>
      <x:c r="J51" s="31" t="n">
        <x:v>0</x:v>
      </x:c>
      <x:c r="K51" s="31" t="n">
        <x:v>0</x:v>
      </x:c>
      <x:c r="L51" s="31" t="str">
        <x:v>Not Started</x:v>
      </x:c>
    </x:row>
    <x:row r="52">
      <x:c r="A52" s="31" t="n">
        <x:v>49</x:v>
      </x:c>
      <x:c r="B52" s="33" t="n">
        <x:v>46611</x:v>
      </x:c>
      <x:c r="C52" s="33" t="n">
        <x:v>46617</x:v>
      </x:c>
      <x:c r="D52" s="31" t="n">
        <x:v>12</x:v>
      </x:c>
      <x:c r="E52" s="31"/>
      <x:c r="F52" s="31" t="n">
        <x:v>8</x:v>
      </x:c>
      <x:c r="G52" s="31" t="n">
        <x:v>4</x:v>
      </x:c>
      <x:c r="H52" s="31" t="n">
        <x:v>0</x:v>
      </x:c>
      <x:c r="I52" s="31" t="n">
        <x:v>16</x:v>
      </x:c>
      <x:c r="J52" s="31" t="n">
        <x:v>0</x:v>
      </x:c>
      <x:c r="K52" s="31" t="n">
        <x:v>0</x:v>
      </x:c>
      <x:c r="L52" s="31" t="str">
        <x:v>Not Started</x:v>
      </x:c>
    </x:row>
    <x:row r="53">
      <x:c r="A53" s="31" t="n">
        <x:v>50</x:v>
      </x:c>
      <x:c r="B53" s="33" t="n">
        <x:v>46618</x:v>
      </x:c>
      <x:c r="C53" s="33" t="n">
        <x:v>46624</x:v>
      </x:c>
      <x:c r="D53" s="31" t="n">
        <x:v>12</x:v>
      </x:c>
      <x:c r="E53" s="31"/>
      <x:c r="F53" s="31" t="n">
        <x:v>8</x:v>
      </x:c>
      <x:c r="G53" s="31" t="n">
        <x:v>4</x:v>
      </x:c>
      <x:c r="H53" s="31" t="n">
        <x:v>0</x:v>
      </x:c>
      <x:c r="I53" s="31" t="n">
        <x:v>16</x:v>
      </x:c>
      <x:c r="J53" s="31" t="n">
        <x:v>0</x:v>
      </x:c>
      <x:c r="K53" s="31" t="n">
        <x:v>0</x:v>
      </x:c>
      <x:c r="L53" s="31" t="str">
        <x:v>Not Started</x:v>
      </x:c>
    </x:row>
    <x:row r="54">
      <x:c r="A54" s="31" t="n">
        <x:v>51</x:v>
      </x:c>
      <x:c r="B54" s="33" t="n">
        <x:v>46625</x:v>
      </x:c>
      <x:c r="C54" s="33" t="n">
        <x:v>46631</x:v>
      </x:c>
      <x:c r="D54" s="31" t="n">
        <x:v>12</x:v>
      </x:c>
      <x:c r="E54" s="31"/>
      <x:c r="F54" s="31" t="n">
        <x:v>8</x:v>
      </x:c>
      <x:c r="G54" s="31" t="n">
        <x:v>4</x:v>
      </x:c>
      <x:c r="H54" s="31" t="n">
        <x:v>0</x:v>
      </x:c>
      <x:c r="I54" s="31" t="n">
        <x:v>16</x:v>
      </x:c>
      <x:c r="J54" s="31" t="n">
        <x:v>0</x:v>
      </x:c>
      <x:c r="K54" s="31" t="n">
        <x:v>0</x:v>
      </x:c>
      <x:c r="L54" s="31" t="str">
        <x:v>Not Started</x:v>
      </x:c>
    </x:row>
    <x:row r="55">
      <x:c r="A55" s="31" t="n">
        <x:v>52</x:v>
      </x:c>
      <x:c r="B55" s="33" t="n">
        <x:v>46632</x:v>
      </x:c>
      <x:c r="C55" s="33" t="n">
        <x:v>46638</x:v>
      </x:c>
      <x:c r="D55" s="31" t="n">
        <x:v>12</x:v>
      </x:c>
      <x:c r="E55" s="31"/>
      <x:c r="F55" s="31" t="n">
        <x:v>8</x:v>
      </x:c>
      <x:c r="G55" s="31" t="n">
        <x:v>4</x:v>
      </x:c>
      <x:c r="H55" s="31" t="n">
        <x:v>0</x:v>
      </x:c>
      <x:c r="I55" s="31" t="n">
        <x:v>16</x:v>
      </x:c>
      <x:c r="J55" s="31" t="n">
        <x:v>0</x:v>
      </x:c>
      <x:c r="K55" s="31" t="n">
        <x:v>0</x:v>
      </x:c>
      <x:c r="L55" s="31" t="str">
        <x:v>Not Started</x:v>
      </x:c>
    </x:row>
  </x:sheetData>
  <x:mergeCells>
    <x:mergeCell ref="A1:L1"/>
  </x:mergeCells>
  <x:conditionalFormatting sqref="H4:H55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{C5E2C4C4-59AC-AB88-391E-B0E3DB950896}</x14:id>
        </x:ext>
      </x:extLst>
    </x:cfRule>
  </x:conditionalFormatting>
  <x:conditionalFormatting sqref="J4:J55">
    <x:cfRule type="dataBar" priority="2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{6738B193-307C-DA01-C92F-53E6A04CB879}</x14:id>
        </x:ext>
      </x:extLst>
    </x:cfRule>
  </x:conditionalFormatting>
  <x:conditionalFormatting sqref="K4:K55">
    <x:cfRule type="dataBar" priority="3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{5F97770D-1E5D-1BEA-0995-3961EDC50301}</x14:id>
        </x:ext>
      </x:extLst>
    </x:cfRule>
  </x:conditionalFormatting>
  <x:dataValidations count="1">
    <x:dataValidation type="list" sqref="L4:L55">
      <x:formula1>"Not Started,In Progress,Done,Skipped"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ac393570223430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5E2C4C4-59AC-AB88-391E-B0E3DB950896}">
            <x14:dataBar gradient="1">
              <x14:cfvo type="min"/>
              <x14:cfvo type="max"/>
              <x14:fillColor rgb="FF156082"/>
            </x14:dataBar>
          </x14:cfRule>
          <xm:sqref>H4:H55</xm:sqref>
        </x14:conditionalFormatting>
        <x14:conditionalFormatting>
          <x14:cfRule type="dataBar" priority="2" id="{6738B193-307C-DA01-C92F-53E6A04CB879}">
            <x14:dataBar gradient="1">
              <x14:cfvo type="min"/>
              <x14:cfvo type="max"/>
              <x14:fillColor rgb="FF156082"/>
            </x14:dataBar>
          </x14:cfRule>
          <xm:sqref>J4:J55</xm:sqref>
        </x14:conditionalFormatting>
        <x14:conditionalFormatting>
          <x14:cfRule type="dataBar" priority="3" id="{5F97770D-1E5D-1BEA-0995-3961EDC50301}">
            <x14:dataBar gradient="1">
              <x14:cfvo type="min"/>
              <x14:cfvo type="max"/>
              <x14:fillColor rgb="FF156082"/>
            </x14:dataBar>
          </x14:cfRule>
          <xm:sqref>K4:K55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12" hidden="0" customWidth="1"/>
    <x:col min="4" max="4" width="16" hidden="0" customWidth="1"/>
    <x:col min="5" max="5" width="14" hidden="0" customWidth="1"/>
    <x:col min="6" max="6" width="10" hidden="0" customWidth="1"/>
    <x:col min="7" max="7" width="12" hidden="0" customWidth="1"/>
    <x:col min="8" max="8" width="34" hidden="0" customWidth="1"/>
    <x:col min="9" max="9" width="14" hidden="0" customWidth="1"/>
    <x:col min="10" max="10" width="12" hidden="0" customWidth="1"/>
  </x:cols>
  <x:sheetData>
    <x:row r="1" ht="28" customHeight="1">
      <x:c r="A1" s="5" t="str">
        <x:v>DSA TRACKER — TARGET ~450 QUALITY PROBLEMS</x:v>
      </x:c>
    </x:row>
    <x:row r="3">
      <x:c r="A3" s="25" t="str">
        <x:v>Problem / Title</x:v>
      </x:c>
      <x:c r="B3" s="25" t="str">
        <x:v>Pattern</x:v>
      </x:c>
      <x:c r="C3" s="25" t="str">
        <x:v>Difficulty</x:v>
      </x:c>
      <x:c r="D3" s="25" t="str">
        <x:v>Platform/ID</x:v>
      </x:c>
      <x:c r="E3" s="25" t="str">
        <x:v>Date Solved</x:v>
      </x:c>
      <x:c r="F3" s="25" t="str">
        <x:v>Solved</x:v>
      </x:c>
      <x:c r="G3" s="25" t="str">
        <x:v>Time (min)</x:v>
      </x:c>
      <x:c r="H3" s="25" t="str">
        <x:v>Mistake / Insight</x:v>
      </x:c>
      <x:c r="I3" s="25" t="str">
        <x:v>Revisit Date</x:v>
      </x:c>
      <x:c r="J3" s="25" t="str">
        <x:v>Revisited</x:v>
      </x:c>
    </x:row>
    <x:row r="4">
      <x:c r="A4" s="31" t="str"/>
      <x:c r="B4" s="31" t="str">
        <x:v>Arrays</x:v>
      </x:c>
      <x:c r="C4" s="31" t="str">
        <x:v>Easy</x:v>
      </x:c>
      <x:c r="D4" s="31" t="str"/>
      <x:c r="E4" s="31" t="str">
        <x:v>No</x:v>
      </x:c>
      <x:c r="F4" s="31" t="str"/>
      <x:c r="G4" s="31" t="str"/>
      <x:c r="H4" s="31" t="str"/>
      <x:c r="I4" s="31" t="str"/>
      <x:c r="J4" s="31" t="str">
        <x:v>No</x:v>
      </x:c>
    </x:row>
    <x:row r="5">
      <x:c r="A5" s="31" t="str"/>
      <x:c r="B5" s="31" t="str">
        <x:v>Hashing</x:v>
      </x:c>
      <x:c r="C5" s="31" t="str">
        <x:v>Medium</x:v>
      </x:c>
      <x:c r="D5" s="31" t="str"/>
      <x:c r="E5" s="31" t="str">
        <x:v>No</x:v>
      </x:c>
      <x:c r="F5" s="31" t="str"/>
      <x:c r="G5" s="31" t="str"/>
      <x:c r="H5" s="31" t="str"/>
      <x:c r="I5" s="31" t="str"/>
      <x:c r="J5" s="31" t="str">
        <x:v>No</x:v>
      </x:c>
    </x:row>
    <x:row r="6">
      <x:c r="A6" s="31" t="str"/>
      <x:c r="B6" s="31" t="str">
        <x:v>Two Pointers</x:v>
      </x:c>
      <x:c r="C6" s="31" t="str">
        <x:v>Hard</x:v>
      </x:c>
      <x:c r="D6" s="31" t="str"/>
      <x:c r="E6" s="31" t="str">
        <x:v>No</x:v>
      </x:c>
      <x:c r="F6" s="31" t="str"/>
      <x:c r="G6" s="31" t="str"/>
      <x:c r="H6" s="31" t="str"/>
      <x:c r="I6" s="31" t="str"/>
      <x:c r="J6" s="31" t="str">
        <x:v>No</x:v>
      </x:c>
    </x:row>
    <x:row r="7">
      <x:c r="A7" s="31" t="str"/>
      <x:c r="B7" s="31" t="str">
        <x:v>Sliding Window</x:v>
      </x:c>
      <x:c r="C7" s="31" t="str">
        <x:v>Easy</x:v>
      </x:c>
      <x:c r="D7" s="31" t="str"/>
      <x:c r="E7" s="31" t="str">
        <x:v>No</x:v>
      </x:c>
      <x:c r="F7" s="31" t="str"/>
      <x:c r="G7" s="31" t="str"/>
      <x:c r="H7" s="31" t="str"/>
      <x:c r="I7" s="31" t="str"/>
      <x:c r="J7" s="31" t="str">
        <x:v>No</x:v>
      </x:c>
    </x:row>
    <x:row r="8">
      <x:c r="A8" s="31" t="str"/>
      <x:c r="B8" s="31" t="str">
        <x:v>Binary Search</x:v>
      </x:c>
      <x:c r="C8" s="31" t="str">
        <x:v>Medium</x:v>
      </x:c>
      <x:c r="D8" s="31" t="str"/>
      <x:c r="E8" s="31" t="str">
        <x:v>No</x:v>
      </x:c>
      <x:c r="F8" s="31" t="str"/>
      <x:c r="G8" s="31" t="str"/>
      <x:c r="H8" s="31" t="str"/>
      <x:c r="I8" s="31" t="str"/>
      <x:c r="J8" s="31" t="str">
        <x:v>No</x:v>
      </x:c>
    </x:row>
    <x:row r="9">
      <x:c r="A9" s="31" t="str"/>
      <x:c r="B9" s="31" t="str">
        <x:v>Stack</x:v>
      </x:c>
      <x:c r="C9" s="31" t="str">
        <x:v>Hard</x:v>
      </x:c>
      <x:c r="D9" s="31" t="str"/>
      <x:c r="E9" s="31" t="str">
        <x:v>No</x:v>
      </x:c>
      <x:c r="F9" s="31" t="str"/>
      <x:c r="G9" s="31" t="str"/>
      <x:c r="H9" s="31" t="str"/>
      <x:c r="I9" s="31" t="str"/>
      <x:c r="J9" s="31" t="str">
        <x:v>No</x:v>
      </x:c>
    </x:row>
    <x:row r="10">
      <x:c r="A10" s="31" t="str"/>
      <x:c r="B10" s="31" t="str">
        <x:v>Queue</x:v>
      </x:c>
      <x:c r="C10" s="31" t="str">
        <x:v>Easy</x:v>
      </x:c>
      <x:c r="D10" s="31" t="str"/>
      <x:c r="E10" s="31" t="str">
        <x:v>No</x:v>
      </x:c>
      <x:c r="F10" s="31" t="str"/>
      <x:c r="G10" s="31" t="str"/>
      <x:c r="H10" s="31" t="str"/>
      <x:c r="I10" s="31" t="str"/>
      <x:c r="J10" s="31" t="str">
        <x:v>No</x:v>
      </x:c>
    </x:row>
    <x:row r="11">
      <x:c r="A11" s="31" t="str"/>
      <x:c r="B11" s="31" t="str">
        <x:v>Linked List</x:v>
      </x:c>
      <x:c r="C11" s="31" t="str">
        <x:v>Medium</x:v>
      </x:c>
      <x:c r="D11" s="31" t="str"/>
      <x:c r="E11" s="31" t="str">
        <x:v>No</x:v>
      </x:c>
      <x:c r="F11" s="31" t="str"/>
      <x:c r="G11" s="31" t="str"/>
      <x:c r="H11" s="31" t="str"/>
      <x:c r="I11" s="31" t="str"/>
      <x:c r="J11" s="31" t="str">
        <x:v>No</x:v>
      </x:c>
    </x:row>
    <x:row r="12">
      <x:c r="A12" s="31" t="str"/>
      <x:c r="B12" s="31" t="str">
        <x:v>Trees</x:v>
      </x:c>
      <x:c r="C12" s="31" t="str">
        <x:v>Hard</x:v>
      </x:c>
      <x:c r="D12" s="31" t="str"/>
      <x:c r="E12" s="31" t="str">
        <x:v>No</x:v>
      </x:c>
      <x:c r="F12" s="31" t="str"/>
      <x:c r="G12" s="31" t="str"/>
      <x:c r="H12" s="31" t="str"/>
      <x:c r="I12" s="31" t="str"/>
      <x:c r="J12" s="31" t="str">
        <x:v>No</x:v>
      </x:c>
    </x:row>
    <x:row r="13">
      <x:c r="A13" s="31" t="str"/>
      <x:c r="B13" s="31" t="str">
        <x:v>BFS</x:v>
      </x:c>
      <x:c r="C13" s="31" t="str">
        <x:v>Easy</x:v>
      </x:c>
      <x:c r="D13" s="31" t="str"/>
      <x:c r="E13" s="31" t="str">
        <x:v>No</x:v>
      </x:c>
      <x:c r="F13" s="31" t="str"/>
      <x:c r="G13" s="31" t="str"/>
      <x:c r="H13" s="31" t="str"/>
      <x:c r="I13" s="31" t="str"/>
      <x:c r="J13" s="31" t="str">
        <x:v>No</x:v>
      </x:c>
    </x:row>
    <x:row r="14">
      <x:c r="A14" s="31" t="str"/>
      <x:c r="B14" s="31" t="str">
        <x:v>DFS</x:v>
      </x:c>
      <x:c r="C14" s="31" t="str">
        <x:v>Medium</x:v>
      </x:c>
      <x:c r="D14" s="31" t="str"/>
      <x:c r="E14" s="31" t="str">
        <x:v>No</x:v>
      </x:c>
      <x:c r="F14" s="31" t="str"/>
      <x:c r="G14" s="31" t="str"/>
      <x:c r="H14" s="31" t="str"/>
      <x:c r="I14" s="31" t="str"/>
      <x:c r="J14" s="31" t="str">
        <x:v>No</x:v>
      </x:c>
    </x:row>
    <x:row r="15">
      <x:c r="A15" s="31" t="str"/>
      <x:c r="B15" s="31" t="str">
        <x:v>Backtracking</x:v>
      </x:c>
      <x:c r="C15" s="31" t="str">
        <x:v>Hard</x:v>
      </x:c>
      <x:c r="D15" s="31" t="str"/>
      <x:c r="E15" s="31" t="str">
        <x:v>No</x:v>
      </x:c>
      <x:c r="F15" s="31" t="str"/>
      <x:c r="G15" s="31" t="str"/>
      <x:c r="H15" s="31" t="str"/>
      <x:c r="I15" s="31" t="str"/>
      <x:c r="J15" s="31" t="str">
        <x:v>No</x:v>
      </x:c>
    </x:row>
    <x:row r="16">
      <x:c r="A16" s="31" t="str"/>
      <x:c r="B16" s="31" t="str">
        <x:v>Heap</x:v>
      </x:c>
      <x:c r="C16" s="31" t="str">
        <x:v>Easy</x:v>
      </x:c>
      <x:c r="D16" s="31" t="str"/>
      <x:c r="E16" s="31" t="str">
        <x:v>No</x:v>
      </x:c>
      <x:c r="F16" s="31" t="str"/>
      <x:c r="G16" s="31" t="str"/>
      <x:c r="H16" s="31" t="str"/>
      <x:c r="I16" s="31" t="str"/>
      <x:c r="J16" s="31" t="str">
        <x:v>No</x:v>
      </x:c>
    </x:row>
    <x:row r="17">
      <x:c r="A17" s="31" t="str"/>
      <x:c r="B17" s="31" t="str">
        <x:v>Graphs</x:v>
      </x:c>
      <x:c r="C17" s="31" t="str">
        <x:v>Medium</x:v>
      </x:c>
      <x:c r="D17" s="31" t="str"/>
      <x:c r="E17" s="31" t="str">
        <x:v>No</x:v>
      </x:c>
      <x:c r="F17" s="31" t="str"/>
      <x:c r="G17" s="31" t="str"/>
      <x:c r="H17" s="31" t="str"/>
      <x:c r="I17" s="31" t="str"/>
      <x:c r="J17" s="31" t="str">
        <x:v>No</x:v>
      </x:c>
    </x:row>
    <x:row r="18">
      <x:c r="A18" s="31" t="str"/>
      <x:c r="B18" s="31" t="str">
        <x:v>Topological Sort</x:v>
      </x:c>
      <x:c r="C18" s="31" t="str">
        <x:v>Hard</x:v>
      </x:c>
      <x:c r="D18" s="31" t="str"/>
      <x:c r="E18" s="31" t="str">
        <x:v>No</x:v>
      </x:c>
      <x:c r="F18" s="31" t="str"/>
      <x:c r="G18" s="31" t="str"/>
      <x:c r="H18" s="31" t="str"/>
      <x:c r="I18" s="31" t="str"/>
      <x:c r="J18" s="31" t="str">
        <x:v>No</x:v>
      </x:c>
    </x:row>
    <x:row r="19">
      <x:c r="A19" s="31" t="str"/>
      <x:c r="B19" s="31" t="str">
        <x:v>Union-Find</x:v>
      </x:c>
      <x:c r="C19" s="31" t="str">
        <x:v>Easy</x:v>
      </x:c>
      <x:c r="D19" s="31" t="str"/>
      <x:c r="E19" s="31" t="str">
        <x:v>No</x:v>
      </x:c>
      <x:c r="F19" s="31" t="str"/>
      <x:c r="G19" s="31" t="str"/>
      <x:c r="H19" s="31" t="str"/>
      <x:c r="I19" s="31" t="str"/>
      <x:c r="J19" s="31" t="str">
        <x:v>No</x:v>
      </x:c>
    </x:row>
    <x:row r="20">
      <x:c r="A20" s="31" t="str"/>
      <x:c r="B20" s="31" t="str">
        <x:v>Trie</x:v>
      </x:c>
      <x:c r="C20" s="31" t="str">
        <x:v>Medium</x:v>
      </x:c>
      <x:c r="D20" s="31" t="str"/>
      <x:c r="E20" s="31" t="str">
        <x:v>No</x:v>
      </x:c>
      <x:c r="F20" s="31" t="str"/>
      <x:c r="G20" s="31" t="str"/>
      <x:c r="H20" s="31" t="str"/>
      <x:c r="I20" s="31" t="str"/>
      <x:c r="J20" s="31" t="str">
        <x:v>No</x:v>
      </x:c>
    </x:row>
    <x:row r="21">
      <x:c r="A21" s="31" t="str"/>
      <x:c r="B21" s="31" t="str">
        <x:v>Greedy</x:v>
      </x:c>
      <x:c r="C21" s="31" t="str">
        <x:v>Hard</x:v>
      </x:c>
      <x:c r="D21" s="31" t="str"/>
      <x:c r="E21" s="31" t="str">
        <x:v>No</x:v>
      </x:c>
      <x:c r="F21" s="31" t="str"/>
      <x:c r="G21" s="31" t="str"/>
      <x:c r="H21" s="31" t="str"/>
      <x:c r="I21" s="31" t="str"/>
      <x:c r="J21" s="31" t="str">
        <x:v>No</x:v>
      </x:c>
    </x:row>
    <x:row r="22">
      <x:c r="A22" s="31" t="str"/>
      <x:c r="B22" s="31" t="str">
        <x:v>Intervals</x:v>
      </x:c>
      <x:c r="C22" s="31" t="str">
        <x:v>Easy</x:v>
      </x:c>
      <x:c r="D22" s="31" t="str"/>
      <x:c r="E22" s="31" t="str">
        <x:v>No</x:v>
      </x:c>
      <x:c r="F22" s="31" t="str"/>
      <x:c r="G22" s="31" t="str"/>
      <x:c r="H22" s="31" t="str"/>
      <x:c r="I22" s="31" t="str"/>
      <x:c r="J22" s="31" t="str">
        <x:v>No</x:v>
      </x:c>
    </x:row>
    <x:row r="23">
      <x:c r="A23" s="31" t="str"/>
      <x:c r="B23" s="31" t="str">
        <x:v>Dynamic Programming</x:v>
      </x:c>
      <x:c r="C23" s="31" t="str">
        <x:v>Medium</x:v>
      </x:c>
      <x:c r="D23" s="31" t="str"/>
      <x:c r="E23" s="31" t="str">
        <x:v>No</x:v>
      </x:c>
      <x:c r="F23" s="31" t="str"/>
      <x:c r="G23" s="31" t="str"/>
      <x:c r="H23" s="31" t="str"/>
      <x:c r="I23" s="31" t="str"/>
      <x:c r="J23" s="31" t="str">
        <x:v>No</x:v>
      </x:c>
    </x:row>
    <x:row r="24">
      <x:c r="A24" s="31" t="str"/>
      <x:c r="B24" s="31" t="str">
        <x:v>Arrays</x:v>
      </x:c>
      <x:c r="C24" s="31" t="str">
        <x:v>Hard</x:v>
      </x:c>
      <x:c r="D24" s="31" t="str"/>
      <x:c r="E24" s="31" t="str">
        <x:v>No</x:v>
      </x:c>
      <x:c r="F24" s="31" t="str"/>
      <x:c r="G24" s="31" t="str"/>
      <x:c r="H24" s="31" t="str"/>
      <x:c r="I24" s="31" t="str"/>
      <x:c r="J24" s="31" t="str">
        <x:v>No</x:v>
      </x:c>
    </x:row>
    <x:row r="25">
      <x:c r="A25" s="31" t="str"/>
      <x:c r="B25" s="31" t="str">
        <x:v>Hashing</x:v>
      </x:c>
      <x:c r="C25" s="31" t="str">
        <x:v>Easy</x:v>
      </x:c>
      <x:c r="D25" s="31" t="str"/>
      <x:c r="E25" s="31" t="str">
        <x:v>No</x:v>
      </x:c>
      <x:c r="F25" s="31" t="str"/>
      <x:c r="G25" s="31" t="str"/>
      <x:c r="H25" s="31" t="str"/>
      <x:c r="I25" s="31" t="str"/>
      <x:c r="J25" s="31" t="str">
        <x:v>No</x:v>
      </x:c>
    </x:row>
    <x:row r="26">
      <x:c r="A26" s="31" t="str"/>
      <x:c r="B26" s="31" t="str">
        <x:v>Two Pointers</x:v>
      </x:c>
      <x:c r="C26" s="31" t="str">
        <x:v>Medium</x:v>
      </x:c>
      <x:c r="D26" s="31" t="str"/>
      <x:c r="E26" s="31" t="str">
        <x:v>No</x:v>
      </x:c>
      <x:c r="F26" s="31" t="str"/>
      <x:c r="G26" s="31" t="str"/>
      <x:c r="H26" s="31" t="str"/>
      <x:c r="I26" s="31" t="str"/>
      <x:c r="J26" s="31" t="str">
        <x:v>No</x:v>
      </x:c>
    </x:row>
    <x:row r="27">
      <x:c r="A27" s="31" t="str"/>
      <x:c r="B27" s="31" t="str">
        <x:v>Sliding Window</x:v>
      </x:c>
      <x:c r="C27" s="31" t="str">
        <x:v>Hard</x:v>
      </x:c>
      <x:c r="D27" s="31" t="str"/>
      <x:c r="E27" s="31" t="str">
        <x:v>No</x:v>
      </x:c>
      <x:c r="F27" s="31" t="str"/>
      <x:c r="G27" s="31" t="str"/>
      <x:c r="H27" s="31" t="str"/>
      <x:c r="I27" s="31" t="str"/>
      <x:c r="J27" s="31" t="str">
        <x:v>No</x:v>
      </x:c>
    </x:row>
    <x:row r="28">
      <x:c r="A28" s="31" t="str"/>
      <x:c r="B28" s="31" t="str">
        <x:v>Binary Search</x:v>
      </x:c>
      <x:c r="C28" s="31" t="str">
        <x:v>Easy</x:v>
      </x:c>
      <x:c r="D28" s="31" t="str"/>
      <x:c r="E28" s="31" t="str">
        <x:v>No</x:v>
      </x:c>
      <x:c r="F28" s="31" t="str"/>
      <x:c r="G28" s="31" t="str"/>
      <x:c r="H28" s="31" t="str"/>
      <x:c r="I28" s="31" t="str"/>
      <x:c r="J28" s="31" t="str">
        <x:v>No</x:v>
      </x:c>
    </x:row>
    <x:row r="29">
      <x:c r="A29" s="31" t="str"/>
      <x:c r="B29" s="31" t="str">
        <x:v>Stack</x:v>
      </x:c>
      <x:c r="C29" s="31" t="str">
        <x:v>Medium</x:v>
      </x:c>
      <x:c r="D29" s="31" t="str"/>
      <x:c r="E29" s="31" t="str">
        <x:v>No</x:v>
      </x:c>
      <x:c r="F29" s="31" t="str"/>
      <x:c r="G29" s="31" t="str"/>
      <x:c r="H29" s="31" t="str"/>
      <x:c r="I29" s="31" t="str"/>
      <x:c r="J29" s="31" t="str">
        <x:v>No</x:v>
      </x:c>
    </x:row>
    <x:row r="30">
      <x:c r="A30" s="31" t="str"/>
      <x:c r="B30" s="31" t="str">
        <x:v>Queue</x:v>
      </x:c>
      <x:c r="C30" s="31" t="str">
        <x:v>Hard</x:v>
      </x:c>
      <x:c r="D30" s="31" t="str"/>
      <x:c r="E30" s="31" t="str">
        <x:v>No</x:v>
      </x:c>
      <x:c r="F30" s="31" t="str"/>
      <x:c r="G30" s="31" t="str"/>
      <x:c r="H30" s="31" t="str"/>
      <x:c r="I30" s="31" t="str"/>
      <x:c r="J30" s="31" t="str">
        <x:v>No</x:v>
      </x:c>
    </x:row>
    <x:row r="31">
      <x:c r="A31" s="31" t="str"/>
      <x:c r="B31" s="31" t="str">
        <x:v>Linked List</x:v>
      </x:c>
      <x:c r="C31" s="31" t="str">
        <x:v>Easy</x:v>
      </x:c>
      <x:c r="D31" s="31" t="str"/>
      <x:c r="E31" s="31" t="str">
        <x:v>No</x:v>
      </x:c>
      <x:c r="F31" s="31" t="str"/>
      <x:c r="G31" s="31" t="str"/>
      <x:c r="H31" s="31" t="str"/>
      <x:c r="I31" s="31" t="str"/>
      <x:c r="J31" s="31" t="str">
        <x:v>No</x:v>
      </x:c>
    </x:row>
    <x:row r="32">
      <x:c r="A32" s="31" t="str"/>
      <x:c r="B32" s="31" t="str">
        <x:v>Trees</x:v>
      </x:c>
      <x:c r="C32" s="31" t="str">
        <x:v>Medium</x:v>
      </x:c>
      <x:c r="D32" s="31" t="str"/>
      <x:c r="E32" s="31" t="str">
        <x:v>No</x:v>
      </x:c>
      <x:c r="F32" s="31" t="str"/>
      <x:c r="G32" s="31" t="str"/>
      <x:c r="H32" s="31" t="str"/>
      <x:c r="I32" s="31" t="str"/>
      <x:c r="J32" s="31" t="str">
        <x:v>No</x:v>
      </x:c>
    </x:row>
    <x:row r="33">
      <x:c r="A33" s="31" t="str"/>
      <x:c r="B33" s="31" t="str">
        <x:v>BFS</x:v>
      </x:c>
      <x:c r="C33" s="31" t="str">
        <x:v>Hard</x:v>
      </x:c>
      <x:c r="D33" s="31" t="str"/>
      <x:c r="E33" s="31" t="str">
        <x:v>No</x:v>
      </x:c>
      <x:c r="F33" s="31" t="str"/>
      <x:c r="G33" s="31" t="str"/>
      <x:c r="H33" s="31" t="str"/>
      <x:c r="I33" s="31" t="str"/>
      <x:c r="J33" s="31" t="str">
        <x:v>No</x:v>
      </x:c>
    </x:row>
    <x:row r="34">
      <x:c r="A34" s="31" t="str"/>
      <x:c r="B34" s="31" t="str">
        <x:v>DFS</x:v>
      </x:c>
      <x:c r="C34" s="31" t="str">
        <x:v>Easy</x:v>
      </x:c>
      <x:c r="D34" s="31" t="str"/>
      <x:c r="E34" s="31" t="str">
        <x:v>No</x:v>
      </x:c>
      <x:c r="F34" s="31" t="str"/>
      <x:c r="G34" s="31" t="str"/>
      <x:c r="H34" s="31" t="str"/>
      <x:c r="I34" s="31" t="str"/>
      <x:c r="J34" s="31" t="str">
        <x:v>No</x:v>
      </x:c>
    </x:row>
    <x:row r="35">
      <x:c r="A35" s="31" t="str"/>
      <x:c r="B35" s="31" t="str">
        <x:v>Backtracking</x:v>
      </x:c>
      <x:c r="C35" s="31" t="str">
        <x:v>Medium</x:v>
      </x:c>
      <x:c r="D35" s="31" t="str"/>
      <x:c r="E35" s="31" t="str">
        <x:v>No</x:v>
      </x:c>
      <x:c r="F35" s="31" t="str"/>
      <x:c r="G35" s="31" t="str"/>
      <x:c r="H35" s="31" t="str"/>
      <x:c r="I35" s="31" t="str"/>
      <x:c r="J35" s="31" t="str">
        <x:v>No</x:v>
      </x:c>
    </x:row>
    <x:row r="36">
      <x:c r="A36" s="31" t="str"/>
      <x:c r="B36" s="31" t="str">
        <x:v>Heap</x:v>
      </x:c>
      <x:c r="C36" s="31" t="str">
        <x:v>Hard</x:v>
      </x:c>
      <x:c r="D36" s="31" t="str"/>
      <x:c r="E36" s="31" t="str">
        <x:v>No</x:v>
      </x:c>
      <x:c r="F36" s="31" t="str"/>
      <x:c r="G36" s="31" t="str"/>
      <x:c r="H36" s="31" t="str"/>
      <x:c r="I36" s="31" t="str"/>
      <x:c r="J36" s="31" t="str">
        <x:v>No</x:v>
      </x:c>
    </x:row>
    <x:row r="37">
      <x:c r="A37" s="31" t="str"/>
      <x:c r="B37" s="31" t="str">
        <x:v>Graphs</x:v>
      </x:c>
      <x:c r="C37" s="31" t="str">
        <x:v>Easy</x:v>
      </x:c>
      <x:c r="D37" s="31" t="str"/>
      <x:c r="E37" s="31" t="str">
        <x:v>No</x:v>
      </x:c>
      <x:c r="F37" s="31" t="str"/>
      <x:c r="G37" s="31" t="str"/>
      <x:c r="H37" s="31" t="str"/>
      <x:c r="I37" s="31" t="str"/>
      <x:c r="J37" s="31" t="str">
        <x:v>No</x:v>
      </x:c>
    </x:row>
    <x:row r="38">
      <x:c r="A38" s="31" t="str"/>
      <x:c r="B38" s="31" t="str">
        <x:v>Topological Sort</x:v>
      </x:c>
      <x:c r="C38" s="31" t="str">
        <x:v>Medium</x:v>
      </x:c>
      <x:c r="D38" s="31" t="str"/>
      <x:c r="E38" s="31" t="str">
        <x:v>No</x:v>
      </x:c>
      <x:c r="F38" s="31" t="str"/>
      <x:c r="G38" s="31" t="str"/>
      <x:c r="H38" s="31" t="str"/>
      <x:c r="I38" s="31" t="str"/>
      <x:c r="J38" s="31" t="str">
        <x:v>No</x:v>
      </x:c>
    </x:row>
    <x:row r="39">
      <x:c r="A39" s="31" t="str"/>
      <x:c r="B39" s="31" t="str">
        <x:v>Union-Find</x:v>
      </x:c>
      <x:c r="C39" s="31" t="str">
        <x:v>Hard</x:v>
      </x:c>
      <x:c r="D39" s="31" t="str"/>
      <x:c r="E39" s="31" t="str">
        <x:v>No</x:v>
      </x:c>
      <x:c r="F39" s="31" t="str"/>
      <x:c r="G39" s="31" t="str"/>
      <x:c r="H39" s="31" t="str"/>
      <x:c r="I39" s="31" t="str"/>
      <x:c r="J39" s="31" t="str">
        <x:v>No</x:v>
      </x:c>
    </x:row>
    <x:row r="40">
      <x:c r="A40" s="31" t="str"/>
      <x:c r="B40" s="31" t="str">
        <x:v>Trie</x:v>
      </x:c>
      <x:c r="C40" s="31" t="str">
        <x:v>Easy</x:v>
      </x:c>
      <x:c r="D40" s="31" t="str"/>
      <x:c r="E40" s="31" t="str">
        <x:v>No</x:v>
      </x:c>
      <x:c r="F40" s="31" t="str"/>
      <x:c r="G40" s="31" t="str"/>
      <x:c r="H40" s="31" t="str"/>
      <x:c r="I40" s="31" t="str"/>
      <x:c r="J40" s="31" t="str">
        <x:v>No</x:v>
      </x:c>
    </x:row>
    <x:row r="41">
      <x:c r="A41" s="31" t="str"/>
      <x:c r="B41" s="31" t="str">
        <x:v>Greedy</x:v>
      </x:c>
      <x:c r="C41" s="31" t="str">
        <x:v>Medium</x:v>
      </x:c>
      <x:c r="D41" s="31" t="str"/>
      <x:c r="E41" s="31" t="str">
        <x:v>No</x:v>
      </x:c>
      <x:c r="F41" s="31" t="str"/>
      <x:c r="G41" s="31" t="str"/>
      <x:c r="H41" s="31" t="str"/>
      <x:c r="I41" s="31" t="str"/>
      <x:c r="J41" s="31" t="str">
        <x:v>No</x:v>
      </x:c>
    </x:row>
    <x:row r="42">
      <x:c r="A42" s="31" t="str"/>
      <x:c r="B42" s="31" t="str">
        <x:v>Intervals</x:v>
      </x:c>
      <x:c r="C42" s="31" t="str">
        <x:v>Hard</x:v>
      </x:c>
      <x:c r="D42" s="31" t="str"/>
      <x:c r="E42" s="31" t="str">
        <x:v>No</x:v>
      </x:c>
      <x:c r="F42" s="31" t="str"/>
      <x:c r="G42" s="31" t="str"/>
      <x:c r="H42" s="31" t="str"/>
      <x:c r="I42" s="31" t="str"/>
      <x:c r="J42" s="31" t="str">
        <x:v>No</x:v>
      </x:c>
    </x:row>
    <x:row r="43">
      <x:c r="A43" s="31" t="str"/>
      <x:c r="B43" s="31" t="str">
        <x:v>Dynamic Programming</x:v>
      </x:c>
      <x:c r="C43" s="31" t="str">
        <x:v>Easy</x:v>
      </x:c>
      <x:c r="D43" s="31" t="str"/>
      <x:c r="E43" s="31" t="str">
        <x:v>No</x:v>
      </x:c>
      <x:c r="F43" s="31" t="str"/>
      <x:c r="G43" s="31" t="str"/>
      <x:c r="H43" s="31" t="str"/>
      <x:c r="I43" s="31" t="str"/>
      <x:c r="J43" s="31" t="str">
        <x:v>No</x:v>
      </x:c>
    </x:row>
    <x:row r="44">
      <x:c r="A44" s="31" t="str"/>
      <x:c r="B44" s="31" t="str">
        <x:v>Arrays</x:v>
      </x:c>
      <x:c r="C44" s="31" t="str">
        <x:v>Medium</x:v>
      </x:c>
      <x:c r="D44" s="31" t="str"/>
      <x:c r="E44" s="31" t="str">
        <x:v>No</x:v>
      </x:c>
      <x:c r="F44" s="31" t="str"/>
      <x:c r="G44" s="31" t="str"/>
      <x:c r="H44" s="31" t="str"/>
      <x:c r="I44" s="31" t="str"/>
      <x:c r="J44" s="31" t="str">
        <x:v>No</x:v>
      </x:c>
    </x:row>
    <x:row r="45">
      <x:c r="A45" s="31" t="str"/>
      <x:c r="B45" s="31" t="str">
        <x:v>Hashing</x:v>
      </x:c>
      <x:c r="C45" s="31" t="str">
        <x:v>Hard</x:v>
      </x:c>
      <x:c r="D45" s="31" t="str"/>
      <x:c r="E45" s="31" t="str">
        <x:v>No</x:v>
      </x:c>
      <x:c r="F45" s="31" t="str"/>
      <x:c r="G45" s="31" t="str"/>
      <x:c r="H45" s="31" t="str"/>
      <x:c r="I45" s="31" t="str"/>
      <x:c r="J45" s="31" t="str">
        <x:v>No</x:v>
      </x:c>
    </x:row>
    <x:row r="46">
      <x:c r="A46" s="31" t="str"/>
      <x:c r="B46" s="31" t="str">
        <x:v>Two Pointers</x:v>
      </x:c>
      <x:c r="C46" s="31" t="str">
        <x:v>Easy</x:v>
      </x:c>
      <x:c r="D46" s="31" t="str"/>
      <x:c r="E46" s="31" t="str">
        <x:v>No</x:v>
      </x:c>
      <x:c r="F46" s="31" t="str"/>
      <x:c r="G46" s="31" t="str"/>
      <x:c r="H46" s="31" t="str"/>
      <x:c r="I46" s="31" t="str"/>
      <x:c r="J46" s="31" t="str">
        <x:v>No</x:v>
      </x:c>
    </x:row>
    <x:row r="47">
      <x:c r="A47" s="31" t="str"/>
      <x:c r="B47" s="31" t="str">
        <x:v>Sliding Window</x:v>
      </x:c>
      <x:c r="C47" s="31" t="str">
        <x:v>Medium</x:v>
      </x:c>
      <x:c r="D47" s="31" t="str"/>
      <x:c r="E47" s="31" t="str">
        <x:v>No</x:v>
      </x:c>
      <x:c r="F47" s="31" t="str"/>
      <x:c r="G47" s="31" t="str"/>
      <x:c r="H47" s="31" t="str"/>
      <x:c r="I47" s="31" t="str"/>
      <x:c r="J47" s="31" t="str">
        <x:v>No</x:v>
      </x:c>
    </x:row>
    <x:row r="48">
      <x:c r="A48" s="31" t="str"/>
      <x:c r="B48" s="31" t="str">
        <x:v>Binary Search</x:v>
      </x:c>
      <x:c r="C48" s="31" t="str">
        <x:v>Hard</x:v>
      </x:c>
      <x:c r="D48" s="31" t="str"/>
      <x:c r="E48" s="31" t="str">
        <x:v>No</x:v>
      </x:c>
      <x:c r="F48" s="31" t="str"/>
      <x:c r="G48" s="31" t="str"/>
      <x:c r="H48" s="31" t="str"/>
      <x:c r="I48" s="31" t="str"/>
      <x:c r="J48" s="31" t="str">
        <x:v>No</x:v>
      </x:c>
    </x:row>
    <x:row r="49">
      <x:c r="A49" s="31" t="str"/>
      <x:c r="B49" s="31" t="str">
        <x:v>Stack</x:v>
      </x:c>
      <x:c r="C49" s="31" t="str">
        <x:v>Easy</x:v>
      </x:c>
      <x:c r="D49" s="31" t="str"/>
      <x:c r="E49" s="31" t="str">
        <x:v>No</x:v>
      </x:c>
      <x:c r="F49" s="31" t="str"/>
      <x:c r="G49" s="31" t="str"/>
      <x:c r="H49" s="31" t="str"/>
      <x:c r="I49" s="31" t="str"/>
      <x:c r="J49" s="31" t="str">
        <x:v>No</x:v>
      </x:c>
    </x:row>
    <x:row r="50">
      <x:c r="A50" s="31" t="str"/>
      <x:c r="B50" s="31" t="str">
        <x:v>Queue</x:v>
      </x:c>
      <x:c r="C50" s="31" t="str">
        <x:v>Medium</x:v>
      </x:c>
      <x:c r="D50" s="31" t="str"/>
      <x:c r="E50" s="31" t="str">
        <x:v>No</x:v>
      </x:c>
      <x:c r="F50" s="31" t="str"/>
      <x:c r="G50" s="31" t="str"/>
      <x:c r="H50" s="31" t="str"/>
      <x:c r="I50" s="31" t="str"/>
      <x:c r="J50" s="31" t="str">
        <x:v>No</x:v>
      </x:c>
    </x:row>
    <x:row r="51">
      <x:c r="A51" s="31" t="str"/>
      <x:c r="B51" s="31" t="str">
        <x:v>Linked List</x:v>
      </x:c>
      <x:c r="C51" s="31" t="str">
        <x:v>Hard</x:v>
      </x:c>
      <x:c r="D51" s="31" t="str"/>
      <x:c r="E51" s="31" t="str">
        <x:v>No</x:v>
      </x:c>
      <x:c r="F51" s="31" t="str"/>
      <x:c r="G51" s="31" t="str"/>
      <x:c r="H51" s="31" t="str"/>
      <x:c r="I51" s="31" t="str"/>
      <x:c r="J51" s="31" t="str">
        <x:v>No</x:v>
      </x:c>
    </x:row>
    <x:row r="52">
      <x:c r="A52" s="31" t="str"/>
      <x:c r="B52" s="31" t="str">
        <x:v>Trees</x:v>
      </x:c>
      <x:c r="C52" s="31" t="str">
        <x:v>Easy</x:v>
      </x:c>
      <x:c r="D52" s="31" t="str"/>
      <x:c r="E52" s="31" t="str">
        <x:v>No</x:v>
      </x:c>
      <x:c r="F52" s="31" t="str"/>
      <x:c r="G52" s="31" t="str"/>
      <x:c r="H52" s="31" t="str"/>
      <x:c r="I52" s="31" t="str"/>
      <x:c r="J52" s="31" t="str">
        <x:v>No</x:v>
      </x:c>
    </x:row>
    <x:row r="53">
      <x:c r="A53" s="31" t="str"/>
      <x:c r="B53" s="31" t="str">
        <x:v>BFS</x:v>
      </x:c>
      <x:c r="C53" s="31" t="str">
        <x:v>Medium</x:v>
      </x:c>
      <x:c r="D53" s="31" t="str"/>
      <x:c r="E53" s="31" t="str">
        <x:v>No</x:v>
      </x:c>
      <x:c r="F53" s="31" t="str"/>
      <x:c r="G53" s="31" t="str"/>
      <x:c r="H53" s="31" t="str"/>
      <x:c r="I53" s="31" t="str"/>
      <x:c r="J53" s="31" t="str">
        <x:v>No</x:v>
      </x:c>
    </x:row>
    <x:row r="54">
      <x:c r="A54" s="31" t="str"/>
      <x:c r="B54" s="31" t="str">
        <x:v>DFS</x:v>
      </x:c>
      <x:c r="C54" s="31" t="str">
        <x:v>Hard</x:v>
      </x:c>
      <x:c r="D54" s="31" t="str"/>
      <x:c r="E54" s="31" t="str">
        <x:v>No</x:v>
      </x:c>
      <x:c r="F54" s="31" t="str"/>
      <x:c r="G54" s="31" t="str"/>
      <x:c r="H54" s="31" t="str"/>
      <x:c r="I54" s="31" t="str"/>
      <x:c r="J54" s="31" t="str">
        <x:v>No</x:v>
      </x:c>
    </x:row>
    <x:row r="55">
      <x:c r="A55" s="31" t="str"/>
      <x:c r="B55" s="31" t="str">
        <x:v>Backtracking</x:v>
      </x:c>
      <x:c r="C55" s="31" t="str">
        <x:v>Easy</x:v>
      </x:c>
      <x:c r="D55" s="31" t="str"/>
      <x:c r="E55" s="31" t="str">
        <x:v>No</x:v>
      </x:c>
      <x:c r="F55" s="31" t="str"/>
      <x:c r="G55" s="31" t="str"/>
      <x:c r="H55" s="31" t="str"/>
      <x:c r="I55" s="31" t="str"/>
      <x:c r="J55" s="31" t="str">
        <x:v>No</x:v>
      </x:c>
    </x:row>
    <x:row r="56">
      <x:c r="A56" s="31" t="str"/>
      <x:c r="B56" s="31" t="str">
        <x:v>Heap</x:v>
      </x:c>
      <x:c r="C56" s="31" t="str">
        <x:v>Medium</x:v>
      </x:c>
      <x:c r="D56" s="31" t="str"/>
      <x:c r="E56" s="31" t="str">
        <x:v>No</x:v>
      </x:c>
      <x:c r="F56" s="31" t="str"/>
      <x:c r="G56" s="31" t="str"/>
      <x:c r="H56" s="31" t="str"/>
      <x:c r="I56" s="31" t="str"/>
      <x:c r="J56" s="31" t="str">
        <x:v>No</x:v>
      </x:c>
    </x:row>
    <x:row r="57">
      <x:c r="A57" s="31" t="str"/>
      <x:c r="B57" s="31" t="str">
        <x:v>Graphs</x:v>
      </x:c>
      <x:c r="C57" s="31" t="str">
        <x:v>Hard</x:v>
      </x:c>
      <x:c r="D57" s="31" t="str"/>
      <x:c r="E57" s="31" t="str">
        <x:v>No</x:v>
      </x:c>
      <x:c r="F57" s="31" t="str"/>
      <x:c r="G57" s="31" t="str"/>
      <x:c r="H57" s="31" t="str"/>
      <x:c r="I57" s="31" t="str"/>
      <x:c r="J57" s="31" t="str">
        <x:v>No</x:v>
      </x:c>
    </x:row>
    <x:row r="58">
      <x:c r="A58" s="31" t="str"/>
      <x:c r="B58" s="31" t="str">
        <x:v>Topological Sort</x:v>
      </x:c>
      <x:c r="C58" s="31" t="str">
        <x:v>Easy</x:v>
      </x:c>
      <x:c r="D58" s="31" t="str"/>
      <x:c r="E58" s="31" t="str">
        <x:v>No</x:v>
      </x:c>
      <x:c r="F58" s="31" t="str"/>
      <x:c r="G58" s="31" t="str"/>
      <x:c r="H58" s="31" t="str"/>
      <x:c r="I58" s="31" t="str"/>
      <x:c r="J58" s="31" t="str">
        <x:v>No</x:v>
      </x:c>
    </x:row>
    <x:row r="59">
      <x:c r="A59" s="31" t="str"/>
      <x:c r="B59" s="31" t="str">
        <x:v>Union-Find</x:v>
      </x:c>
      <x:c r="C59" s="31" t="str">
        <x:v>Medium</x:v>
      </x:c>
      <x:c r="D59" s="31" t="str"/>
      <x:c r="E59" s="31" t="str">
        <x:v>No</x:v>
      </x:c>
      <x:c r="F59" s="31" t="str"/>
      <x:c r="G59" s="31" t="str"/>
      <x:c r="H59" s="31" t="str"/>
      <x:c r="I59" s="31" t="str"/>
      <x:c r="J59" s="31" t="str">
        <x:v>No</x:v>
      </x:c>
    </x:row>
    <x:row r="60">
      <x:c r="A60" s="31" t="str"/>
      <x:c r="B60" s="31" t="str">
        <x:v>Trie</x:v>
      </x:c>
      <x:c r="C60" s="31" t="str">
        <x:v>Hard</x:v>
      </x:c>
      <x:c r="D60" s="31" t="str"/>
      <x:c r="E60" s="31" t="str">
        <x:v>No</x:v>
      </x:c>
      <x:c r="F60" s="31" t="str"/>
      <x:c r="G60" s="31" t="str"/>
      <x:c r="H60" s="31" t="str"/>
      <x:c r="I60" s="31" t="str"/>
      <x:c r="J60" s="31" t="str">
        <x:v>No</x:v>
      </x:c>
    </x:row>
    <x:row r="61">
      <x:c r="A61" s="31" t="str"/>
      <x:c r="B61" s="31" t="str">
        <x:v>Greedy</x:v>
      </x:c>
      <x:c r="C61" s="31" t="str">
        <x:v>Easy</x:v>
      </x:c>
      <x:c r="D61" s="31" t="str"/>
      <x:c r="E61" s="31" t="str">
        <x:v>No</x:v>
      </x:c>
      <x:c r="F61" s="31" t="str"/>
      <x:c r="G61" s="31" t="str"/>
      <x:c r="H61" s="31" t="str"/>
      <x:c r="I61" s="31" t="str"/>
      <x:c r="J61" s="31" t="str">
        <x:v>No</x:v>
      </x:c>
    </x:row>
    <x:row r="62">
      <x:c r="A62" s="31" t="str"/>
      <x:c r="B62" s="31" t="str">
        <x:v>Intervals</x:v>
      </x:c>
      <x:c r="C62" s="31" t="str">
        <x:v>Medium</x:v>
      </x:c>
      <x:c r="D62" s="31" t="str"/>
      <x:c r="E62" s="31" t="str">
        <x:v>No</x:v>
      </x:c>
      <x:c r="F62" s="31" t="str"/>
      <x:c r="G62" s="31" t="str"/>
      <x:c r="H62" s="31" t="str"/>
      <x:c r="I62" s="31" t="str"/>
      <x:c r="J62" s="31" t="str">
        <x:v>No</x:v>
      </x:c>
    </x:row>
    <x:row r="63">
      <x:c r="A63" s="31" t="str"/>
      <x:c r="B63" s="31" t="str">
        <x:v>Dynamic Programming</x:v>
      </x:c>
      <x:c r="C63" s="31" t="str">
        <x:v>Hard</x:v>
      </x:c>
      <x:c r="D63" s="31" t="str"/>
      <x:c r="E63" s="31" t="str">
        <x:v>No</x:v>
      </x:c>
      <x:c r="F63" s="31" t="str"/>
      <x:c r="G63" s="31" t="str"/>
      <x:c r="H63" s="31" t="str"/>
      <x:c r="I63" s="31" t="str"/>
      <x:c r="J63" s="31" t="str">
        <x:v>No</x:v>
      </x:c>
    </x:row>
    <x:row r="64">
      <x:c r="A64" s="31" t="str"/>
      <x:c r="B64" s="31" t="str">
        <x:v>Arrays</x:v>
      </x:c>
      <x:c r="C64" s="31" t="str">
        <x:v>Easy</x:v>
      </x:c>
      <x:c r="D64" s="31" t="str"/>
      <x:c r="E64" s="31" t="str">
        <x:v>No</x:v>
      </x:c>
      <x:c r="F64" s="31" t="str"/>
      <x:c r="G64" s="31" t="str"/>
      <x:c r="H64" s="31" t="str"/>
      <x:c r="I64" s="31" t="str"/>
      <x:c r="J64" s="31" t="str">
        <x:v>No</x:v>
      </x:c>
    </x:row>
    <x:row r="65">
      <x:c r="A65" s="31" t="str"/>
      <x:c r="B65" s="31" t="str">
        <x:v>Hashing</x:v>
      </x:c>
      <x:c r="C65" s="31" t="str">
        <x:v>Medium</x:v>
      </x:c>
      <x:c r="D65" s="31" t="str"/>
      <x:c r="E65" s="31" t="str">
        <x:v>No</x:v>
      </x:c>
      <x:c r="F65" s="31" t="str"/>
      <x:c r="G65" s="31" t="str"/>
      <x:c r="H65" s="31" t="str"/>
      <x:c r="I65" s="31" t="str"/>
      <x:c r="J65" s="31" t="str">
        <x:v>No</x:v>
      </x:c>
    </x:row>
    <x:row r="66">
      <x:c r="A66" s="31" t="str"/>
      <x:c r="B66" s="31" t="str">
        <x:v>Two Pointers</x:v>
      </x:c>
      <x:c r="C66" s="31" t="str">
        <x:v>Hard</x:v>
      </x:c>
      <x:c r="D66" s="31" t="str"/>
      <x:c r="E66" s="31" t="str">
        <x:v>No</x:v>
      </x:c>
      <x:c r="F66" s="31" t="str"/>
      <x:c r="G66" s="31" t="str"/>
      <x:c r="H66" s="31" t="str"/>
      <x:c r="I66" s="31" t="str"/>
      <x:c r="J66" s="31" t="str">
        <x:v>No</x:v>
      </x:c>
    </x:row>
    <x:row r="67">
      <x:c r="A67" s="31" t="str"/>
      <x:c r="B67" s="31" t="str">
        <x:v>Sliding Window</x:v>
      </x:c>
      <x:c r="C67" s="31" t="str">
        <x:v>Easy</x:v>
      </x:c>
      <x:c r="D67" s="31" t="str"/>
      <x:c r="E67" s="31" t="str">
        <x:v>No</x:v>
      </x:c>
      <x:c r="F67" s="31" t="str"/>
      <x:c r="G67" s="31" t="str"/>
      <x:c r="H67" s="31" t="str"/>
      <x:c r="I67" s="31" t="str"/>
      <x:c r="J67" s="31" t="str">
        <x:v>No</x:v>
      </x:c>
    </x:row>
    <x:row r="68">
      <x:c r="A68" s="31" t="str"/>
      <x:c r="B68" s="31" t="str">
        <x:v>Binary Search</x:v>
      </x:c>
      <x:c r="C68" s="31" t="str">
        <x:v>Medium</x:v>
      </x:c>
      <x:c r="D68" s="31" t="str"/>
      <x:c r="E68" s="31" t="str">
        <x:v>No</x:v>
      </x:c>
      <x:c r="F68" s="31" t="str"/>
      <x:c r="G68" s="31" t="str"/>
      <x:c r="H68" s="31" t="str"/>
      <x:c r="I68" s="31" t="str"/>
      <x:c r="J68" s="31" t="str">
        <x:v>No</x:v>
      </x:c>
    </x:row>
    <x:row r="69">
      <x:c r="A69" s="31" t="str"/>
      <x:c r="B69" s="31" t="str">
        <x:v>Stack</x:v>
      </x:c>
      <x:c r="C69" s="31" t="str">
        <x:v>Hard</x:v>
      </x:c>
      <x:c r="D69" s="31" t="str"/>
      <x:c r="E69" s="31" t="str">
        <x:v>No</x:v>
      </x:c>
      <x:c r="F69" s="31" t="str"/>
      <x:c r="G69" s="31" t="str"/>
      <x:c r="H69" s="31" t="str"/>
      <x:c r="I69" s="31" t="str"/>
      <x:c r="J69" s="31" t="str">
        <x:v>No</x:v>
      </x:c>
    </x:row>
    <x:row r="70">
      <x:c r="A70" s="31" t="str"/>
      <x:c r="B70" s="31" t="str">
        <x:v>Queue</x:v>
      </x:c>
      <x:c r="C70" s="31" t="str">
        <x:v>Easy</x:v>
      </x:c>
      <x:c r="D70" s="31" t="str"/>
      <x:c r="E70" s="31" t="str">
        <x:v>No</x:v>
      </x:c>
      <x:c r="F70" s="31" t="str"/>
      <x:c r="G70" s="31" t="str"/>
      <x:c r="H70" s="31" t="str"/>
      <x:c r="I70" s="31" t="str"/>
      <x:c r="J70" s="31" t="str">
        <x:v>No</x:v>
      </x:c>
    </x:row>
    <x:row r="71">
      <x:c r="A71" s="31" t="str"/>
      <x:c r="B71" s="31" t="str">
        <x:v>Linked List</x:v>
      </x:c>
      <x:c r="C71" s="31" t="str">
        <x:v>Medium</x:v>
      </x:c>
      <x:c r="D71" s="31" t="str"/>
      <x:c r="E71" s="31" t="str">
        <x:v>No</x:v>
      </x:c>
      <x:c r="F71" s="31" t="str"/>
      <x:c r="G71" s="31" t="str"/>
      <x:c r="H71" s="31" t="str"/>
      <x:c r="I71" s="31" t="str"/>
      <x:c r="J71" s="31" t="str">
        <x:v>No</x:v>
      </x:c>
    </x:row>
    <x:row r="72">
      <x:c r="A72" s="31" t="str"/>
      <x:c r="B72" s="31" t="str">
        <x:v>Trees</x:v>
      </x:c>
      <x:c r="C72" s="31" t="str">
        <x:v>Hard</x:v>
      </x:c>
      <x:c r="D72" s="31" t="str"/>
      <x:c r="E72" s="31" t="str">
        <x:v>No</x:v>
      </x:c>
      <x:c r="F72" s="31" t="str"/>
      <x:c r="G72" s="31" t="str"/>
      <x:c r="H72" s="31" t="str"/>
      <x:c r="I72" s="31" t="str"/>
      <x:c r="J72" s="31" t="str">
        <x:v>No</x:v>
      </x:c>
    </x:row>
    <x:row r="73">
      <x:c r="A73" s="31" t="str"/>
      <x:c r="B73" s="31" t="str">
        <x:v>BFS</x:v>
      </x:c>
      <x:c r="C73" s="31" t="str">
        <x:v>Easy</x:v>
      </x:c>
      <x:c r="D73" s="31" t="str"/>
      <x:c r="E73" s="31" t="str">
        <x:v>No</x:v>
      </x:c>
      <x:c r="F73" s="31" t="str"/>
      <x:c r="G73" s="31" t="str"/>
      <x:c r="H73" s="31" t="str"/>
      <x:c r="I73" s="31" t="str"/>
      <x:c r="J73" s="31" t="str">
        <x:v>No</x:v>
      </x:c>
    </x:row>
    <x:row r="74">
      <x:c r="A74" s="31" t="str"/>
      <x:c r="B74" s="31" t="str">
        <x:v>DFS</x:v>
      </x:c>
      <x:c r="C74" s="31" t="str">
        <x:v>Medium</x:v>
      </x:c>
      <x:c r="D74" s="31" t="str"/>
      <x:c r="E74" s="31" t="str">
        <x:v>No</x:v>
      </x:c>
      <x:c r="F74" s="31" t="str"/>
      <x:c r="G74" s="31" t="str"/>
      <x:c r="H74" s="31" t="str"/>
      <x:c r="I74" s="31" t="str"/>
      <x:c r="J74" s="31" t="str">
        <x:v>No</x:v>
      </x:c>
    </x:row>
    <x:row r="75">
      <x:c r="A75" s="31" t="str"/>
      <x:c r="B75" s="31" t="str">
        <x:v>Backtracking</x:v>
      </x:c>
      <x:c r="C75" s="31" t="str">
        <x:v>Hard</x:v>
      </x:c>
      <x:c r="D75" s="31" t="str"/>
      <x:c r="E75" s="31" t="str">
        <x:v>No</x:v>
      </x:c>
      <x:c r="F75" s="31" t="str"/>
      <x:c r="G75" s="31" t="str"/>
      <x:c r="H75" s="31" t="str"/>
      <x:c r="I75" s="31" t="str"/>
      <x:c r="J75" s="31" t="str">
        <x:v>No</x:v>
      </x:c>
    </x:row>
    <x:row r="76">
      <x:c r="A76" s="31" t="str"/>
      <x:c r="B76" s="31" t="str">
        <x:v>Heap</x:v>
      </x:c>
      <x:c r="C76" s="31" t="str">
        <x:v>Easy</x:v>
      </x:c>
      <x:c r="D76" s="31" t="str"/>
      <x:c r="E76" s="31" t="str">
        <x:v>No</x:v>
      </x:c>
      <x:c r="F76" s="31" t="str"/>
      <x:c r="G76" s="31" t="str"/>
      <x:c r="H76" s="31" t="str"/>
      <x:c r="I76" s="31" t="str"/>
      <x:c r="J76" s="31" t="str">
        <x:v>No</x:v>
      </x:c>
    </x:row>
    <x:row r="77">
      <x:c r="A77" s="31" t="str"/>
      <x:c r="B77" s="31" t="str">
        <x:v>Graphs</x:v>
      </x:c>
      <x:c r="C77" s="31" t="str">
        <x:v>Medium</x:v>
      </x:c>
      <x:c r="D77" s="31" t="str"/>
      <x:c r="E77" s="31" t="str">
        <x:v>No</x:v>
      </x:c>
      <x:c r="F77" s="31" t="str"/>
      <x:c r="G77" s="31" t="str"/>
      <x:c r="H77" s="31" t="str"/>
      <x:c r="I77" s="31" t="str"/>
      <x:c r="J77" s="31" t="str">
        <x:v>No</x:v>
      </x:c>
    </x:row>
    <x:row r="78">
      <x:c r="A78" s="31" t="str"/>
      <x:c r="B78" s="31" t="str">
        <x:v>Topological Sort</x:v>
      </x:c>
      <x:c r="C78" s="31" t="str">
        <x:v>Hard</x:v>
      </x:c>
      <x:c r="D78" s="31" t="str"/>
      <x:c r="E78" s="31" t="str">
        <x:v>No</x:v>
      </x:c>
      <x:c r="F78" s="31" t="str"/>
      <x:c r="G78" s="31" t="str"/>
      <x:c r="H78" s="31" t="str"/>
      <x:c r="I78" s="31" t="str"/>
      <x:c r="J78" s="31" t="str">
        <x:v>No</x:v>
      </x:c>
    </x:row>
    <x:row r="79">
      <x:c r="A79" s="31" t="str"/>
      <x:c r="B79" s="31" t="str">
        <x:v>Union-Find</x:v>
      </x:c>
      <x:c r="C79" s="31" t="str">
        <x:v>Easy</x:v>
      </x:c>
      <x:c r="D79" s="31" t="str"/>
      <x:c r="E79" s="31" t="str">
        <x:v>No</x:v>
      </x:c>
      <x:c r="F79" s="31" t="str"/>
      <x:c r="G79" s="31" t="str"/>
      <x:c r="H79" s="31" t="str"/>
      <x:c r="I79" s="31" t="str"/>
      <x:c r="J79" s="31" t="str">
        <x:v>No</x:v>
      </x:c>
    </x:row>
    <x:row r="80">
      <x:c r="A80" s="31" t="str"/>
      <x:c r="B80" s="31" t="str">
        <x:v>Trie</x:v>
      </x:c>
      <x:c r="C80" s="31" t="str">
        <x:v>Medium</x:v>
      </x:c>
      <x:c r="D80" s="31" t="str"/>
      <x:c r="E80" s="31" t="str">
        <x:v>No</x:v>
      </x:c>
      <x:c r="F80" s="31" t="str"/>
      <x:c r="G80" s="31" t="str"/>
      <x:c r="H80" s="31" t="str"/>
      <x:c r="I80" s="31" t="str"/>
      <x:c r="J80" s="31" t="str">
        <x:v>No</x:v>
      </x:c>
    </x:row>
    <x:row r="81">
      <x:c r="A81" s="31" t="str"/>
      <x:c r="B81" s="31" t="str">
        <x:v>Greedy</x:v>
      </x:c>
      <x:c r="C81" s="31" t="str">
        <x:v>Hard</x:v>
      </x:c>
      <x:c r="D81" s="31" t="str"/>
      <x:c r="E81" s="31" t="str">
        <x:v>No</x:v>
      </x:c>
      <x:c r="F81" s="31" t="str"/>
      <x:c r="G81" s="31" t="str"/>
      <x:c r="H81" s="31" t="str"/>
      <x:c r="I81" s="31" t="str"/>
      <x:c r="J81" s="31" t="str">
        <x:v>No</x:v>
      </x:c>
    </x:row>
    <x:row r="82">
      <x:c r="A82" s="31" t="str"/>
      <x:c r="B82" s="31" t="str">
        <x:v>Intervals</x:v>
      </x:c>
      <x:c r="C82" s="31" t="str">
        <x:v>Easy</x:v>
      </x:c>
      <x:c r="D82" s="31" t="str"/>
      <x:c r="E82" s="31" t="str">
        <x:v>No</x:v>
      </x:c>
      <x:c r="F82" s="31" t="str"/>
      <x:c r="G82" s="31" t="str"/>
      <x:c r="H82" s="31" t="str"/>
      <x:c r="I82" s="31" t="str"/>
      <x:c r="J82" s="31" t="str">
        <x:v>No</x:v>
      </x:c>
    </x:row>
    <x:row r="83">
      <x:c r="A83" s="31" t="str"/>
      <x:c r="B83" s="31" t="str">
        <x:v>Dynamic Programming</x:v>
      </x:c>
      <x:c r="C83" s="31" t="str">
        <x:v>Medium</x:v>
      </x:c>
      <x:c r="D83" s="31" t="str"/>
      <x:c r="E83" s="31" t="str">
        <x:v>No</x:v>
      </x:c>
      <x:c r="F83" s="31" t="str"/>
      <x:c r="G83" s="31" t="str"/>
      <x:c r="H83" s="31" t="str"/>
      <x:c r="I83" s="31" t="str"/>
      <x:c r="J83" s="31" t="str">
        <x:v>No</x:v>
      </x:c>
    </x:row>
    <x:row r="84">
      <x:c r="A84" s="31" t="str"/>
      <x:c r="B84" s="31" t="str">
        <x:v>Arrays</x:v>
      </x:c>
      <x:c r="C84" s="31" t="str">
        <x:v>Hard</x:v>
      </x:c>
      <x:c r="D84" s="31" t="str"/>
      <x:c r="E84" s="31" t="str">
        <x:v>No</x:v>
      </x:c>
      <x:c r="F84" s="31" t="str"/>
      <x:c r="G84" s="31" t="str"/>
      <x:c r="H84" s="31" t="str"/>
      <x:c r="I84" s="31" t="str"/>
      <x:c r="J84" s="31" t="str">
        <x:v>No</x:v>
      </x:c>
    </x:row>
    <x:row r="85">
      <x:c r="A85" s="31" t="str"/>
      <x:c r="B85" s="31" t="str">
        <x:v>Hashing</x:v>
      </x:c>
      <x:c r="C85" s="31" t="str">
        <x:v>Easy</x:v>
      </x:c>
      <x:c r="D85" s="31" t="str"/>
      <x:c r="E85" s="31" t="str">
        <x:v>No</x:v>
      </x:c>
      <x:c r="F85" s="31" t="str"/>
      <x:c r="G85" s="31" t="str"/>
      <x:c r="H85" s="31" t="str"/>
      <x:c r="I85" s="31" t="str"/>
      <x:c r="J85" s="31" t="str">
        <x:v>No</x:v>
      </x:c>
    </x:row>
    <x:row r="86">
      <x:c r="A86" s="31" t="str"/>
      <x:c r="B86" s="31" t="str">
        <x:v>Two Pointers</x:v>
      </x:c>
      <x:c r="C86" s="31" t="str">
        <x:v>Medium</x:v>
      </x:c>
      <x:c r="D86" s="31" t="str"/>
      <x:c r="E86" s="31" t="str">
        <x:v>No</x:v>
      </x:c>
      <x:c r="F86" s="31" t="str"/>
      <x:c r="G86" s="31" t="str"/>
      <x:c r="H86" s="31" t="str"/>
      <x:c r="I86" s="31" t="str"/>
      <x:c r="J86" s="31" t="str">
        <x:v>No</x:v>
      </x:c>
    </x:row>
    <x:row r="87">
      <x:c r="A87" s="31" t="str"/>
      <x:c r="B87" s="31" t="str">
        <x:v>Sliding Window</x:v>
      </x:c>
      <x:c r="C87" s="31" t="str">
        <x:v>Hard</x:v>
      </x:c>
      <x:c r="D87" s="31" t="str"/>
      <x:c r="E87" s="31" t="str">
        <x:v>No</x:v>
      </x:c>
      <x:c r="F87" s="31" t="str"/>
      <x:c r="G87" s="31" t="str"/>
      <x:c r="H87" s="31" t="str"/>
      <x:c r="I87" s="31" t="str"/>
      <x:c r="J87" s="31" t="str">
        <x:v>No</x:v>
      </x:c>
    </x:row>
    <x:row r="88">
      <x:c r="A88" s="31" t="str"/>
      <x:c r="B88" s="31" t="str">
        <x:v>Binary Search</x:v>
      </x:c>
      <x:c r="C88" s="31" t="str">
        <x:v>Easy</x:v>
      </x:c>
      <x:c r="D88" s="31" t="str"/>
      <x:c r="E88" s="31" t="str">
        <x:v>No</x:v>
      </x:c>
      <x:c r="F88" s="31" t="str"/>
      <x:c r="G88" s="31" t="str"/>
      <x:c r="H88" s="31" t="str"/>
      <x:c r="I88" s="31" t="str"/>
      <x:c r="J88" s="31" t="str">
        <x:v>No</x:v>
      </x:c>
    </x:row>
    <x:row r="89">
      <x:c r="A89" s="31" t="str"/>
      <x:c r="B89" s="31" t="str">
        <x:v>Stack</x:v>
      </x:c>
      <x:c r="C89" s="31" t="str">
        <x:v>Medium</x:v>
      </x:c>
      <x:c r="D89" s="31" t="str"/>
      <x:c r="E89" s="31" t="str">
        <x:v>No</x:v>
      </x:c>
      <x:c r="F89" s="31" t="str"/>
      <x:c r="G89" s="31" t="str"/>
      <x:c r="H89" s="31" t="str"/>
      <x:c r="I89" s="31" t="str"/>
      <x:c r="J89" s="31" t="str">
        <x:v>No</x:v>
      </x:c>
    </x:row>
    <x:row r="90">
      <x:c r="A90" s="31" t="str"/>
      <x:c r="B90" s="31" t="str">
        <x:v>Queue</x:v>
      </x:c>
      <x:c r="C90" s="31" t="str">
        <x:v>Hard</x:v>
      </x:c>
      <x:c r="D90" s="31" t="str"/>
      <x:c r="E90" s="31" t="str">
        <x:v>No</x:v>
      </x:c>
      <x:c r="F90" s="31" t="str"/>
      <x:c r="G90" s="31" t="str"/>
      <x:c r="H90" s="31" t="str"/>
      <x:c r="I90" s="31" t="str"/>
      <x:c r="J90" s="31" t="str">
        <x:v>No</x:v>
      </x:c>
    </x:row>
    <x:row r="91">
      <x:c r="A91" s="31" t="str"/>
      <x:c r="B91" s="31" t="str">
        <x:v>Linked List</x:v>
      </x:c>
      <x:c r="C91" s="31" t="str">
        <x:v>Easy</x:v>
      </x:c>
      <x:c r="D91" s="31" t="str"/>
      <x:c r="E91" s="31" t="str">
        <x:v>No</x:v>
      </x:c>
      <x:c r="F91" s="31" t="str"/>
      <x:c r="G91" s="31" t="str"/>
      <x:c r="H91" s="31" t="str"/>
      <x:c r="I91" s="31" t="str"/>
      <x:c r="J91" s="31" t="str">
        <x:v>No</x:v>
      </x:c>
    </x:row>
    <x:row r="92">
      <x:c r="A92" s="31" t="str"/>
      <x:c r="B92" s="31" t="str">
        <x:v>Trees</x:v>
      </x:c>
      <x:c r="C92" s="31" t="str">
        <x:v>Medium</x:v>
      </x:c>
      <x:c r="D92" s="31" t="str"/>
      <x:c r="E92" s="31" t="str">
        <x:v>No</x:v>
      </x:c>
      <x:c r="F92" s="31" t="str"/>
      <x:c r="G92" s="31" t="str"/>
      <x:c r="H92" s="31" t="str"/>
      <x:c r="I92" s="31" t="str"/>
      <x:c r="J92" s="31" t="str">
        <x:v>No</x:v>
      </x:c>
    </x:row>
    <x:row r="93">
      <x:c r="A93" s="31" t="str"/>
      <x:c r="B93" s="31" t="str">
        <x:v>BFS</x:v>
      </x:c>
      <x:c r="C93" s="31" t="str">
        <x:v>Hard</x:v>
      </x:c>
      <x:c r="D93" s="31" t="str"/>
      <x:c r="E93" s="31" t="str">
        <x:v>No</x:v>
      </x:c>
      <x:c r="F93" s="31" t="str"/>
      <x:c r="G93" s="31" t="str"/>
      <x:c r="H93" s="31" t="str"/>
      <x:c r="I93" s="31" t="str"/>
      <x:c r="J93" s="31" t="str">
        <x:v>No</x:v>
      </x:c>
    </x:row>
    <x:row r="94">
      <x:c r="A94" s="31" t="str"/>
      <x:c r="B94" s="31" t="str">
        <x:v>DFS</x:v>
      </x:c>
      <x:c r="C94" s="31" t="str">
        <x:v>Easy</x:v>
      </x:c>
      <x:c r="D94" s="31" t="str"/>
      <x:c r="E94" s="31" t="str">
        <x:v>No</x:v>
      </x:c>
      <x:c r="F94" s="31" t="str"/>
      <x:c r="G94" s="31" t="str"/>
      <x:c r="H94" s="31" t="str"/>
      <x:c r="I94" s="31" t="str"/>
      <x:c r="J94" s="31" t="str">
        <x:v>No</x:v>
      </x:c>
    </x:row>
    <x:row r="95">
      <x:c r="A95" s="31" t="str"/>
      <x:c r="B95" s="31" t="str">
        <x:v>Backtracking</x:v>
      </x:c>
      <x:c r="C95" s="31" t="str">
        <x:v>Medium</x:v>
      </x:c>
      <x:c r="D95" s="31" t="str"/>
      <x:c r="E95" s="31" t="str">
        <x:v>No</x:v>
      </x:c>
      <x:c r="F95" s="31" t="str"/>
      <x:c r="G95" s="31" t="str"/>
      <x:c r="H95" s="31" t="str"/>
      <x:c r="I95" s="31" t="str"/>
      <x:c r="J95" s="31" t="str">
        <x:v>No</x:v>
      </x:c>
    </x:row>
    <x:row r="96">
      <x:c r="A96" s="31" t="str"/>
      <x:c r="B96" s="31" t="str">
        <x:v>Heap</x:v>
      </x:c>
      <x:c r="C96" s="31" t="str">
        <x:v>Hard</x:v>
      </x:c>
      <x:c r="D96" s="31" t="str"/>
      <x:c r="E96" s="31" t="str">
        <x:v>No</x:v>
      </x:c>
      <x:c r="F96" s="31" t="str"/>
      <x:c r="G96" s="31" t="str"/>
      <x:c r="H96" s="31" t="str"/>
      <x:c r="I96" s="31" t="str"/>
      <x:c r="J96" s="31" t="str">
        <x:v>No</x:v>
      </x:c>
    </x:row>
    <x:row r="97">
      <x:c r="A97" s="31" t="str"/>
      <x:c r="B97" s="31" t="str">
        <x:v>Graphs</x:v>
      </x:c>
      <x:c r="C97" s="31" t="str">
        <x:v>Easy</x:v>
      </x:c>
      <x:c r="D97" s="31" t="str"/>
      <x:c r="E97" s="31" t="str">
        <x:v>No</x:v>
      </x:c>
      <x:c r="F97" s="31" t="str"/>
      <x:c r="G97" s="31" t="str"/>
      <x:c r="H97" s="31" t="str"/>
      <x:c r="I97" s="31" t="str"/>
      <x:c r="J97" s="31" t="str">
        <x:v>No</x:v>
      </x:c>
    </x:row>
    <x:row r="98">
      <x:c r="A98" s="31" t="str"/>
      <x:c r="B98" s="31" t="str">
        <x:v>Topological Sort</x:v>
      </x:c>
      <x:c r="C98" s="31" t="str">
        <x:v>Medium</x:v>
      </x:c>
      <x:c r="D98" s="31" t="str"/>
      <x:c r="E98" s="31" t="str">
        <x:v>No</x:v>
      </x:c>
      <x:c r="F98" s="31" t="str"/>
      <x:c r="G98" s="31" t="str"/>
      <x:c r="H98" s="31" t="str"/>
      <x:c r="I98" s="31" t="str"/>
      <x:c r="J98" s="31" t="str">
        <x:v>No</x:v>
      </x:c>
    </x:row>
    <x:row r="99">
      <x:c r="A99" s="31" t="str"/>
      <x:c r="B99" s="31" t="str">
        <x:v>Union-Find</x:v>
      </x:c>
      <x:c r="C99" s="31" t="str">
        <x:v>Hard</x:v>
      </x:c>
      <x:c r="D99" s="31" t="str"/>
      <x:c r="E99" s="31" t="str">
        <x:v>No</x:v>
      </x:c>
      <x:c r="F99" s="31" t="str"/>
      <x:c r="G99" s="31" t="str"/>
      <x:c r="H99" s="31" t="str"/>
      <x:c r="I99" s="31" t="str"/>
      <x:c r="J99" s="31" t="str">
        <x:v>No</x:v>
      </x:c>
    </x:row>
    <x:row r="100">
      <x:c r="A100" s="31" t="str"/>
      <x:c r="B100" s="31" t="str">
        <x:v>Trie</x:v>
      </x:c>
      <x:c r="C100" s="31" t="str">
        <x:v>Easy</x:v>
      </x:c>
      <x:c r="D100" s="31" t="str"/>
      <x:c r="E100" s="31" t="str">
        <x:v>No</x:v>
      </x:c>
      <x:c r="F100" s="31" t="str"/>
      <x:c r="G100" s="31" t="str"/>
      <x:c r="H100" s="31" t="str"/>
      <x:c r="I100" s="31" t="str"/>
      <x:c r="J100" s="31" t="str">
        <x:v>No</x:v>
      </x:c>
    </x:row>
    <x:row r="101">
      <x:c r="A101" s="31" t="str"/>
      <x:c r="B101" s="31" t="str">
        <x:v>Greedy</x:v>
      </x:c>
      <x:c r="C101" s="31" t="str">
        <x:v>Medium</x:v>
      </x:c>
      <x:c r="D101" s="31" t="str"/>
      <x:c r="E101" s="31" t="str">
        <x:v>No</x:v>
      </x:c>
      <x:c r="F101" s="31" t="str"/>
      <x:c r="G101" s="31" t="str"/>
      <x:c r="H101" s="31" t="str"/>
      <x:c r="I101" s="31" t="str"/>
      <x:c r="J101" s="31" t="str">
        <x:v>No</x:v>
      </x:c>
    </x:row>
    <x:row r="102">
      <x:c r="A102" s="31" t="str"/>
      <x:c r="B102" s="31" t="str">
        <x:v>Intervals</x:v>
      </x:c>
      <x:c r="C102" s="31" t="str">
        <x:v>Hard</x:v>
      </x:c>
      <x:c r="D102" s="31" t="str"/>
      <x:c r="E102" s="31" t="str">
        <x:v>No</x:v>
      </x:c>
      <x:c r="F102" s="31" t="str"/>
      <x:c r="G102" s="31" t="str"/>
      <x:c r="H102" s="31" t="str"/>
      <x:c r="I102" s="31" t="str"/>
      <x:c r="J102" s="31" t="str">
        <x:v>No</x:v>
      </x:c>
    </x:row>
    <x:row r="103">
      <x:c r="A103" s="31" t="str"/>
      <x:c r="B103" s="31" t="str">
        <x:v>Dynamic Programming</x:v>
      </x:c>
      <x:c r="C103" s="31" t="str">
        <x:v>Easy</x:v>
      </x:c>
      <x:c r="D103" s="31" t="str"/>
      <x:c r="E103" s="31" t="str">
        <x:v>No</x:v>
      </x:c>
      <x:c r="F103" s="31" t="str"/>
      <x:c r="G103" s="31" t="str"/>
      <x:c r="H103" s="31" t="str"/>
      <x:c r="I103" s="31" t="str"/>
      <x:c r="J103" s="31" t="str">
        <x:v>No</x:v>
      </x:c>
    </x:row>
    <x:row r="104">
      <x:c r="A104" s="31" t="str"/>
      <x:c r="B104" s="31" t="str">
        <x:v>Arrays</x:v>
      </x:c>
      <x:c r="C104" s="31" t="str">
        <x:v>Medium</x:v>
      </x:c>
      <x:c r="D104" s="31" t="str"/>
      <x:c r="E104" s="31" t="str">
        <x:v>No</x:v>
      </x:c>
      <x:c r="F104" s="31" t="str"/>
      <x:c r="G104" s="31" t="str"/>
      <x:c r="H104" s="31" t="str"/>
      <x:c r="I104" s="31" t="str"/>
      <x:c r="J104" s="31" t="str">
        <x:v>No</x:v>
      </x:c>
    </x:row>
    <x:row r="105">
      <x:c r="A105" s="31" t="str"/>
      <x:c r="B105" s="31" t="str">
        <x:v>Hashing</x:v>
      </x:c>
      <x:c r="C105" s="31" t="str">
        <x:v>Hard</x:v>
      </x:c>
      <x:c r="D105" s="31" t="str"/>
      <x:c r="E105" s="31" t="str">
        <x:v>No</x:v>
      </x:c>
      <x:c r="F105" s="31" t="str"/>
      <x:c r="G105" s="31" t="str"/>
      <x:c r="H105" s="31" t="str"/>
      <x:c r="I105" s="31" t="str"/>
      <x:c r="J105" s="31" t="str">
        <x:v>No</x:v>
      </x:c>
    </x:row>
    <x:row r="106">
      <x:c r="A106" s="31" t="str"/>
      <x:c r="B106" s="31" t="str">
        <x:v>Two Pointers</x:v>
      </x:c>
      <x:c r="C106" s="31" t="str">
        <x:v>Easy</x:v>
      </x:c>
      <x:c r="D106" s="31" t="str"/>
      <x:c r="E106" s="31" t="str">
        <x:v>No</x:v>
      </x:c>
      <x:c r="F106" s="31" t="str"/>
      <x:c r="G106" s="31" t="str"/>
      <x:c r="H106" s="31" t="str"/>
      <x:c r="I106" s="31" t="str"/>
      <x:c r="J106" s="31" t="str">
        <x:v>No</x:v>
      </x:c>
    </x:row>
    <x:row r="107">
      <x:c r="A107" s="31" t="str"/>
      <x:c r="B107" s="31" t="str">
        <x:v>Sliding Window</x:v>
      </x:c>
      <x:c r="C107" s="31" t="str">
        <x:v>Medium</x:v>
      </x:c>
      <x:c r="D107" s="31" t="str"/>
      <x:c r="E107" s="31" t="str">
        <x:v>No</x:v>
      </x:c>
      <x:c r="F107" s="31" t="str"/>
      <x:c r="G107" s="31" t="str"/>
      <x:c r="H107" s="31" t="str"/>
      <x:c r="I107" s="31" t="str"/>
      <x:c r="J107" s="31" t="str">
        <x:v>No</x:v>
      </x:c>
    </x:row>
    <x:row r="108">
      <x:c r="A108" s="31" t="str"/>
      <x:c r="B108" s="31" t="str">
        <x:v>Binary Search</x:v>
      </x:c>
      <x:c r="C108" s="31" t="str">
        <x:v>Hard</x:v>
      </x:c>
      <x:c r="D108" s="31" t="str"/>
      <x:c r="E108" s="31" t="str">
        <x:v>No</x:v>
      </x:c>
      <x:c r="F108" s="31" t="str"/>
      <x:c r="G108" s="31" t="str"/>
      <x:c r="H108" s="31" t="str"/>
      <x:c r="I108" s="31" t="str"/>
      <x:c r="J108" s="31" t="str">
        <x:v>No</x:v>
      </x:c>
    </x:row>
    <x:row r="109">
      <x:c r="A109" s="31" t="str"/>
      <x:c r="B109" s="31" t="str">
        <x:v>Stack</x:v>
      </x:c>
      <x:c r="C109" s="31" t="str">
        <x:v>Easy</x:v>
      </x:c>
      <x:c r="D109" s="31" t="str"/>
      <x:c r="E109" s="31" t="str">
        <x:v>No</x:v>
      </x:c>
      <x:c r="F109" s="31" t="str"/>
      <x:c r="G109" s="31" t="str"/>
      <x:c r="H109" s="31" t="str"/>
      <x:c r="I109" s="31" t="str"/>
      <x:c r="J109" s="31" t="str">
        <x:v>No</x:v>
      </x:c>
    </x:row>
    <x:row r="110">
      <x:c r="A110" s="31" t="str"/>
      <x:c r="B110" s="31" t="str">
        <x:v>Queue</x:v>
      </x:c>
      <x:c r="C110" s="31" t="str">
        <x:v>Medium</x:v>
      </x:c>
      <x:c r="D110" s="31" t="str"/>
      <x:c r="E110" s="31" t="str">
        <x:v>No</x:v>
      </x:c>
      <x:c r="F110" s="31" t="str"/>
      <x:c r="G110" s="31" t="str"/>
      <x:c r="H110" s="31" t="str"/>
      <x:c r="I110" s="31" t="str"/>
      <x:c r="J110" s="31" t="str">
        <x:v>No</x:v>
      </x:c>
    </x:row>
    <x:row r="111">
      <x:c r="A111" s="31" t="str"/>
      <x:c r="B111" s="31" t="str">
        <x:v>Linked List</x:v>
      </x:c>
      <x:c r="C111" s="31" t="str">
        <x:v>Hard</x:v>
      </x:c>
      <x:c r="D111" s="31" t="str"/>
      <x:c r="E111" s="31" t="str">
        <x:v>No</x:v>
      </x:c>
      <x:c r="F111" s="31" t="str"/>
      <x:c r="G111" s="31" t="str"/>
      <x:c r="H111" s="31" t="str"/>
      <x:c r="I111" s="31" t="str"/>
      <x:c r="J111" s="31" t="str">
        <x:v>No</x:v>
      </x:c>
    </x:row>
    <x:row r="112">
      <x:c r="A112" s="31" t="str"/>
      <x:c r="B112" s="31" t="str">
        <x:v>Trees</x:v>
      </x:c>
      <x:c r="C112" s="31" t="str">
        <x:v>Easy</x:v>
      </x:c>
      <x:c r="D112" s="31" t="str"/>
      <x:c r="E112" s="31" t="str">
        <x:v>No</x:v>
      </x:c>
      <x:c r="F112" s="31" t="str"/>
      <x:c r="G112" s="31" t="str"/>
      <x:c r="H112" s="31" t="str"/>
      <x:c r="I112" s="31" t="str"/>
      <x:c r="J112" s="31" t="str">
        <x:v>No</x:v>
      </x:c>
    </x:row>
    <x:row r="113">
      <x:c r="A113" s="31" t="str"/>
      <x:c r="B113" s="31" t="str">
        <x:v>BFS</x:v>
      </x:c>
      <x:c r="C113" s="31" t="str">
        <x:v>Medium</x:v>
      </x:c>
      <x:c r="D113" s="31" t="str"/>
      <x:c r="E113" s="31" t="str">
        <x:v>No</x:v>
      </x:c>
      <x:c r="F113" s="31" t="str"/>
      <x:c r="G113" s="31" t="str"/>
      <x:c r="H113" s="31" t="str"/>
      <x:c r="I113" s="31" t="str"/>
      <x:c r="J113" s="31" t="str">
        <x:v>No</x:v>
      </x:c>
    </x:row>
    <x:row r="114">
      <x:c r="A114" s="31" t="str"/>
      <x:c r="B114" s="31" t="str">
        <x:v>DFS</x:v>
      </x:c>
      <x:c r="C114" s="31" t="str">
        <x:v>Hard</x:v>
      </x:c>
      <x:c r="D114" s="31" t="str"/>
      <x:c r="E114" s="31" t="str">
        <x:v>No</x:v>
      </x:c>
      <x:c r="F114" s="31" t="str"/>
      <x:c r="G114" s="31" t="str"/>
      <x:c r="H114" s="31" t="str"/>
      <x:c r="I114" s="31" t="str"/>
      <x:c r="J114" s="31" t="str">
        <x:v>No</x:v>
      </x:c>
    </x:row>
    <x:row r="115">
      <x:c r="A115" s="31" t="str"/>
      <x:c r="B115" s="31" t="str">
        <x:v>Backtracking</x:v>
      </x:c>
      <x:c r="C115" s="31" t="str">
        <x:v>Easy</x:v>
      </x:c>
      <x:c r="D115" s="31" t="str"/>
      <x:c r="E115" s="31" t="str">
        <x:v>No</x:v>
      </x:c>
      <x:c r="F115" s="31" t="str"/>
      <x:c r="G115" s="31" t="str"/>
      <x:c r="H115" s="31" t="str"/>
      <x:c r="I115" s="31" t="str"/>
      <x:c r="J115" s="31" t="str">
        <x:v>No</x:v>
      </x:c>
    </x:row>
    <x:row r="116">
      <x:c r="A116" s="31" t="str"/>
      <x:c r="B116" s="31" t="str">
        <x:v>Heap</x:v>
      </x:c>
      <x:c r="C116" s="31" t="str">
        <x:v>Medium</x:v>
      </x:c>
      <x:c r="D116" s="31" t="str"/>
      <x:c r="E116" s="31" t="str">
        <x:v>No</x:v>
      </x:c>
      <x:c r="F116" s="31" t="str"/>
      <x:c r="G116" s="31" t="str"/>
      <x:c r="H116" s="31" t="str"/>
      <x:c r="I116" s="31" t="str"/>
      <x:c r="J116" s="31" t="str">
        <x:v>No</x:v>
      </x:c>
    </x:row>
    <x:row r="117">
      <x:c r="A117" s="31" t="str"/>
      <x:c r="B117" s="31" t="str">
        <x:v>Graphs</x:v>
      </x:c>
      <x:c r="C117" s="31" t="str">
        <x:v>Hard</x:v>
      </x:c>
      <x:c r="D117" s="31" t="str"/>
      <x:c r="E117" s="31" t="str">
        <x:v>No</x:v>
      </x:c>
      <x:c r="F117" s="31" t="str"/>
      <x:c r="G117" s="31" t="str"/>
      <x:c r="H117" s="31" t="str"/>
      <x:c r="I117" s="31" t="str"/>
      <x:c r="J117" s="31" t="str">
        <x:v>No</x:v>
      </x:c>
    </x:row>
    <x:row r="118">
      <x:c r="A118" s="31" t="str"/>
      <x:c r="B118" s="31" t="str">
        <x:v>Topological Sort</x:v>
      </x:c>
      <x:c r="C118" s="31" t="str">
        <x:v>Easy</x:v>
      </x:c>
      <x:c r="D118" s="31" t="str"/>
      <x:c r="E118" s="31" t="str">
        <x:v>No</x:v>
      </x:c>
      <x:c r="F118" s="31" t="str"/>
      <x:c r="G118" s="31" t="str"/>
      <x:c r="H118" s="31" t="str"/>
      <x:c r="I118" s="31" t="str"/>
      <x:c r="J118" s="31" t="str">
        <x:v>No</x:v>
      </x:c>
    </x:row>
    <x:row r="119">
      <x:c r="A119" s="31" t="str"/>
      <x:c r="B119" s="31" t="str">
        <x:v>Union-Find</x:v>
      </x:c>
      <x:c r="C119" s="31" t="str">
        <x:v>Medium</x:v>
      </x:c>
      <x:c r="D119" s="31" t="str"/>
      <x:c r="E119" s="31" t="str">
        <x:v>No</x:v>
      </x:c>
      <x:c r="F119" s="31" t="str"/>
      <x:c r="G119" s="31" t="str"/>
      <x:c r="H119" s="31" t="str"/>
      <x:c r="I119" s="31" t="str"/>
      <x:c r="J119" s="31" t="str">
        <x:v>No</x:v>
      </x:c>
    </x:row>
    <x:row r="120">
      <x:c r="A120" s="31" t="str"/>
      <x:c r="B120" s="31" t="str">
        <x:v>Trie</x:v>
      </x:c>
      <x:c r="C120" s="31" t="str">
        <x:v>Hard</x:v>
      </x:c>
      <x:c r="D120" s="31" t="str"/>
      <x:c r="E120" s="31" t="str">
        <x:v>No</x:v>
      </x:c>
      <x:c r="F120" s="31" t="str"/>
      <x:c r="G120" s="31" t="str"/>
      <x:c r="H120" s="31" t="str"/>
      <x:c r="I120" s="31" t="str"/>
      <x:c r="J120" s="31" t="str">
        <x:v>No</x:v>
      </x:c>
    </x:row>
    <x:row r="121">
      <x:c r="A121" s="31" t="str"/>
      <x:c r="B121" s="31" t="str">
        <x:v>Greedy</x:v>
      </x:c>
      <x:c r="C121" s="31" t="str">
        <x:v>Easy</x:v>
      </x:c>
      <x:c r="D121" s="31" t="str"/>
      <x:c r="E121" s="31" t="str">
        <x:v>No</x:v>
      </x:c>
      <x:c r="F121" s="31" t="str"/>
      <x:c r="G121" s="31" t="str"/>
      <x:c r="H121" s="31" t="str"/>
      <x:c r="I121" s="31" t="str"/>
      <x:c r="J121" s="31" t="str">
        <x:v>No</x:v>
      </x:c>
    </x:row>
    <x:row r="122">
      <x:c r="A122" s="31" t="str"/>
      <x:c r="B122" s="31" t="str">
        <x:v>Intervals</x:v>
      </x:c>
      <x:c r="C122" s="31" t="str">
        <x:v>Medium</x:v>
      </x:c>
      <x:c r="D122" s="31" t="str"/>
      <x:c r="E122" s="31" t="str">
        <x:v>No</x:v>
      </x:c>
      <x:c r="F122" s="31" t="str"/>
      <x:c r="G122" s="31" t="str"/>
      <x:c r="H122" s="31" t="str"/>
      <x:c r="I122" s="31" t="str"/>
      <x:c r="J122" s="31" t="str">
        <x:v>No</x:v>
      </x:c>
    </x:row>
    <x:row r="123">
      <x:c r="A123" s="31" t="str"/>
      <x:c r="B123" s="31" t="str">
        <x:v>Dynamic Programming</x:v>
      </x:c>
      <x:c r="C123" s="31" t="str">
        <x:v>Hard</x:v>
      </x:c>
      <x:c r="D123" s="31" t="str"/>
      <x:c r="E123" s="31" t="str">
        <x:v>No</x:v>
      </x:c>
      <x:c r="F123" s="31" t="str"/>
      <x:c r="G123" s="31" t="str"/>
      <x:c r="H123" s="31" t="str"/>
      <x:c r="I123" s="31" t="str"/>
      <x:c r="J123" s="31" t="str">
        <x:v>No</x:v>
      </x:c>
    </x:row>
    <x:row r="124">
      <x:c r="A124" s="31" t="str"/>
      <x:c r="B124" s="31" t="str">
        <x:v>Arrays</x:v>
      </x:c>
      <x:c r="C124" s="31" t="str">
        <x:v>Easy</x:v>
      </x:c>
      <x:c r="D124" s="31" t="str"/>
      <x:c r="E124" s="31" t="str">
        <x:v>No</x:v>
      </x:c>
      <x:c r="F124" s="31" t="str"/>
      <x:c r="G124" s="31" t="str"/>
      <x:c r="H124" s="31" t="str"/>
      <x:c r="I124" s="31" t="str"/>
      <x:c r="J124" s="31" t="str">
        <x:v>No</x:v>
      </x:c>
    </x:row>
    <x:row r="125">
      <x:c r="A125" s="31" t="str"/>
      <x:c r="B125" s="31" t="str">
        <x:v>Hashing</x:v>
      </x:c>
      <x:c r="C125" s="31" t="str">
        <x:v>Medium</x:v>
      </x:c>
      <x:c r="D125" s="31" t="str"/>
      <x:c r="E125" s="31" t="str">
        <x:v>No</x:v>
      </x:c>
      <x:c r="F125" s="31" t="str"/>
      <x:c r="G125" s="31" t="str"/>
      <x:c r="H125" s="31" t="str"/>
      <x:c r="I125" s="31" t="str"/>
      <x:c r="J125" s="31" t="str">
        <x:v>No</x:v>
      </x:c>
    </x:row>
    <x:row r="126">
      <x:c r="A126" s="31" t="str"/>
      <x:c r="B126" s="31" t="str">
        <x:v>Two Pointers</x:v>
      </x:c>
      <x:c r="C126" s="31" t="str">
        <x:v>Hard</x:v>
      </x:c>
      <x:c r="D126" s="31" t="str"/>
      <x:c r="E126" s="31" t="str">
        <x:v>No</x:v>
      </x:c>
      <x:c r="F126" s="31" t="str"/>
      <x:c r="G126" s="31" t="str"/>
      <x:c r="H126" s="31" t="str"/>
      <x:c r="I126" s="31" t="str"/>
      <x:c r="J126" s="31" t="str">
        <x:v>No</x:v>
      </x:c>
    </x:row>
    <x:row r="127">
      <x:c r="A127" s="31" t="str"/>
      <x:c r="B127" s="31" t="str">
        <x:v>Sliding Window</x:v>
      </x:c>
      <x:c r="C127" s="31" t="str">
        <x:v>Easy</x:v>
      </x:c>
      <x:c r="D127" s="31" t="str"/>
      <x:c r="E127" s="31" t="str">
        <x:v>No</x:v>
      </x:c>
      <x:c r="F127" s="31" t="str"/>
      <x:c r="G127" s="31" t="str"/>
      <x:c r="H127" s="31" t="str"/>
      <x:c r="I127" s="31" t="str"/>
      <x:c r="J127" s="31" t="str">
        <x:v>No</x:v>
      </x:c>
    </x:row>
    <x:row r="128">
      <x:c r="A128" s="31" t="str"/>
      <x:c r="B128" s="31" t="str">
        <x:v>Binary Search</x:v>
      </x:c>
      <x:c r="C128" s="31" t="str">
        <x:v>Medium</x:v>
      </x:c>
      <x:c r="D128" s="31" t="str"/>
      <x:c r="E128" s="31" t="str">
        <x:v>No</x:v>
      </x:c>
      <x:c r="F128" s="31" t="str"/>
      <x:c r="G128" s="31" t="str"/>
      <x:c r="H128" s="31" t="str"/>
      <x:c r="I128" s="31" t="str"/>
      <x:c r="J128" s="31" t="str">
        <x:v>No</x:v>
      </x:c>
    </x:row>
    <x:row r="129">
      <x:c r="A129" s="31" t="str"/>
      <x:c r="B129" s="31" t="str">
        <x:v>Stack</x:v>
      </x:c>
      <x:c r="C129" s="31" t="str">
        <x:v>Hard</x:v>
      </x:c>
      <x:c r="D129" s="31" t="str"/>
      <x:c r="E129" s="31" t="str">
        <x:v>No</x:v>
      </x:c>
      <x:c r="F129" s="31" t="str"/>
      <x:c r="G129" s="31" t="str"/>
      <x:c r="H129" s="31" t="str"/>
      <x:c r="I129" s="31" t="str"/>
      <x:c r="J129" s="31" t="str">
        <x:v>No</x:v>
      </x:c>
    </x:row>
    <x:row r="130">
      <x:c r="A130" s="31" t="str"/>
      <x:c r="B130" s="31" t="str">
        <x:v>Queue</x:v>
      </x:c>
      <x:c r="C130" s="31" t="str">
        <x:v>Easy</x:v>
      </x:c>
      <x:c r="D130" s="31" t="str"/>
      <x:c r="E130" s="31" t="str">
        <x:v>No</x:v>
      </x:c>
      <x:c r="F130" s="31" t="str"/>
      <x:c r="G130" s="31" t="str"/>
      <x:c r="H130" s="31" t="str"/>
      <x:c r="I130" s="31" t="str"/>
      <x:c r="J130" s="31" t="str">
        <x:v>No</x:v>
      </x:c>
    </x:row>
    <x:row r="131">
      <x:c r="A131" s="31" t="str"/>
      <x:c r="B131" s="31" t="str">
        <x:v>Linked List</x:v>
      </x:c>
      <x:c r="C131" s="31" t="str">
        <x:v>Medium</x:v>
      </x:c>
      <x:c r="D131" s="31" t="str"/>
      <x:c r="E131" s="31" t="str">
        <x:v>No</x:v>
      </x:c>
      <x:c r="F131" s="31" t="str"/>
      <x:c r="G131" s="31" t="str"/>
      <x:c r="H131" s="31" t="str"/>
      <x:c r="I131" s="31" t="str"/>
      <x:c r="J131" s="31" t="str">
        <x:v>No</x:v>
      </x:c>
    </x:row>
    <x:row r="132">
      <x:c r="A132" s="31" t="str"/>
      <x:c r="B132" s="31" t="str">
        <x:v>Trees</x:v>
      </x:c>
      <x:c r="C132" s="31" t="str">
        <x:v>Hard</x:v>
      </x:c>
      <x:c r="D132" s="31" t="str"/>
      <x:c r="E132" s="31" t="str">
        <x:v>No</x:v>
      </x:c>
      <x:c r="F132" s="31" t="str"/>
      <x:c r="G132" s="31" t="str"/>
      <x:c r="H132" s="31" t="str"/>
      <x:c r="I132" s="31" t="str"/>
      <x:c r="J132" s="31" t="str">
        <x:v>No</x:v>
      </x:c>
    </x:row>
    <x:row r="133">
      <x:c r="A133" s="31" t="str"/>
      <x:c r="B133" s="31" t="str">
        <x:v>BFS</x:v>
      </x:c>
      <x:c r="C133" s="31" t="str">
        <x:v>Easy</x:v>
      </x:c>
      <x:c r="D133" s="31" t="str"/>
      <x:c r="E133" s="31" t="str">
        <x:v>No</x:v>
      </x:c>
      <x:c r="F133" s="31" t="str"/>
      <x:c r="G133" s="31" t="str"/>
      <x:c r="H133" s="31" t="str"/>
      <x:c r="I133" s="31" t="str"/>
      <x:c r="J133" s="31" t="str">
        <x:v>No</x:v>
      </x:c>
    </x:row>
    <x:row r="134">
      <x:c r="A134" s="31" t="str"/>
      <x:c r="B134" s="31" t="str">
        <x:v>DFS</x:v>
      </x:c>
      <x:c r="C134" s="31" t="str">
        <x:v>Medium</x:v>
      </x:c>
      <x:c r="D134" s="31" t="str"/>
      <x:c r="E134" s="31" t="str">
        <x:v>No</x:v>
      </x:c>
      <x:c r="F134" s="31" t="str"/>
      <x:c r="G134" s="31" t="str"/>
      <x:c r="H134" s="31" t="str"/>
      <x:c r="I134" s="31" t="str"/>
      <x:c r="J134" s="31" t="str">
        <x:v>No</x:v>
      </x:c>
    </x:row>
    <x:row r="135">
      <x:c r="A135" s="31" t="str"/>
      <x:c r="B135" s="31" t="str">
        <x:v>Backtracking</x:v>
      </x:c>
      <x:c r="C135" s="31" t="str">
        <x:v>Hard</x:v>
      </x:c>
      <x:c r="D135" s="31" t="str"/>
      <x:c r="E135" s="31" t="str">
        <x:v>No</x:v>
      </x:c>
      <x:c r="F135" s="31" t="str"/>
      <x:c r="G135" s="31" t="str"/>
      <x:c r="H135" s="31" t="str"/>
      <x:c r="I135" s="31" t="str"/>
      <x:c r="J135" s="31" t="str">
        <x:v>No</x:v>
      </x:c>
    </x:row>
    <x:row r="136">
      <x:c r="A136" s="31" t="str"/>
      <x:c r="B136" s="31" t="str">
        <x:v>Heap</x:v>
      </x:c>
      <x:c r="C136" s="31" t="str">
        <x:v>Easy</x:v>
      </x:c>
      <x:c r="D136" s="31" t="str"/>
      <x:c r="E136" s="31" t="str">
        <x:v>No</x:v>
      </x:c>
      <x:c r="F136" s="31" t="str"/>
      <x:c r="G136" s="31" t="str"/>
      <x:c r="H136" s="31" t="str"/>
      <x:c r="I136" s="31" t="str"/>
      <x:c r="J136" s="31" t="str">
        <x:v>No</x:v>
      </x:c>
    </x:row>
    <x:row r="137">
      <x:c r="A137" s="31" t="str"/>
      <x:c r="B137" s="31" t="str">
        <x:v>Graphs</x:v>
      </x:c>
      <x:c r="C137" s="31" t="str">
        <x:v>Medium</x:v>
      </x:c>
      <x:c r="D137" s="31" t="str"/>
      <x:c r="E137" s="31" t="str">
        <x:v>No</x:v>
      </x:c>
      <x:c r="F137" s="31" t="str"/>
      <x:c r="G137" s="31" t="str"/>
      <x:c r="H137" s="31" t="str"/>
      <x:c r="I137" s="31" t="str"/>
      <x:c r="J137" s="31" t="str">
        <x:v>No</x:v>
      </x:c>
    </x:row>
    <x:row r="138">
      <x:c r="A138" s="31" t="str"/>
      <x:c r="B138" s="31" t="str">
        <x:v>Topological Sort</x:v>
      </x:c>
      <x:c r="C138" s="31" t="str">
        <x:v>Hard</x:v>
      </x:c>
      <x:c r="D138" s="31" t="str"/>
      <x:c r="E138" s="31" t="str">
        <x:v>No</x:v>
      </x:c>
      <x:c r="F138" s="31" t="str"/>
      <x:c r="G138" s="31" t="str"/>
      <x:c r="H138" s="31" t="str"/>
      <x:c r="I138" s="31" t="str"/>
      <x:c r="J138" s="31" t="str">
        <x:v>No</x:v>
      </x:c>
    </x:row>
    <x:row r="139">
      <x:c r="A139" s="31" t="str"/>
      <x:c r="B139" s="31" t="str">
        <x:v>Union-Find</x:v>
      </x:c>
      <x:c r="C139" s="31" t="str">
        <x:v>Easy</x:v>
      </x:c>
      <x:c r="D139" s="31" t="str"/>
      <x:c r="E139" s="31" t="str">
        <x:v>No</x:v>
      </x:c>
      <x:c r="F139" s="31" t="str"/>
      <x:c r="G139" s="31" t="str"/>
      <x:c r="H139" s="31" t="str"/>
      <x:c r="I139" s="31" t="str"/>
      <x:c r="J139" s="31" t="str">
        <x:v>No</x:v>
      </x:c>
    </x:row>
    <x:row r="140">
      <x:c r="A140" s="31" t="str"/>
      <x:c r="B140" s="31" t="str">
        <x:v>Trie</x:v>
      </x:c>
      <x:c r="C140" s="31" t="str">
        <x:v>Medium</x:v>
      </x:c>
      <x:c r="D140" s="31" t="str"/>
      <x:c r="E140" s="31" t="str">
        <x:v>No</x:v>
      </x:c>
      <x:c r="F140" s="31" t="str"/>
      <x:c r="G140" s="31" t="str"/>
      <x:c r="H140" s="31" t="str"/>
      <x:c r="I140" s="31" t="str"/>
      <x:c r="J140" s="31" t="str">
        <x:v>No</x:v>
      </x:c>
    </x:row>
    <x:row r="141">
      <x:c r="A141" s="31" t="str"/>
      <x:c r="B141" s="31" t="str">
        <x:v>Greedy</x:v>
      </x:c>
      <x:c r="C141" s="31" t="str">
        <x:v>Hard</x:v>
      </x:c>
      <x:c r="D141" s="31" t="str"/>
      <x:c r="E141" s="31" t="str">
        <x:v>No</x:v>
      </x:c>
      <x:c r="F141" s="31" t="str"/>
      <x:c r="G141" s="31" t="str"/>
      <x:c r="H141" s="31" t="str"/>
      <x:c r="I141" s="31" t="str"/>
      <x:c r="J141" s="31" t="str">
        <x:v>No</x:v>
      </x:c>
    </x:row>
    <x:row r="142">
      <x:c r="A142" s="31" t="str"/>
      <x:c r="B142" s="31" t="str">
        <x:v>Intervals</x:v>
      </x:c>
      <x:c r="C142" s="31" t="str">
        <x:v>Easy</x:v>
      </x:c>
      <x:c r="D142" s="31" t="str"/>
      <x:c r="E142" s="31" t="str">
        <x:v>No</x:v>
      </x:c>
      <x:c r="F142" s="31" t="str"/>
      <x:c r="G142" s="31" t="str"/>
      <x:c r="H142" s="31" t="str"/>
      <x:c r="I142" s="31" t="str"/>
      <x:c r="J142" s="31" t="str">
        <x:v>No</x:v>
      </x:c>
    </x:row>
    <x:row r="143">
      <x:c r="A143" s="31" t="str"/>
      <x:c r="B143" s="31" t="str">
        <x:v>Dynamic Programming</x:v>
      </x:c>
      <x:c r="C143" s="31" t="str">
        <x:v>Medium</x:v>
      </x:c>
      <x:c r="D143" s="31" t="str"/>
      <x:c r="E143" s="31" t="str">
        <x:v>No</x:v>
      </x:c>
      <x:c r="F143" s="31" t="str"/>
      <x:c r="G143" s="31" t="str"/>
      <x:c r="H143" s="31" t="str"/>
      <x:c r="I143" s="31" t="str"/>
      <x:c r="J143" s="31" t="str">
        <x:v>No</x:v>
      </x:c>
    </x:row>
    <x:row r="144">
      <x:c r="A144" s="31" t="str"/>
      <x:c r="B144" s="31" t="str">
        <x:v>Arrays</x:v>
      </x:c>
      <x:c r="C144" s="31" t="str">
        <x:v>Hard</x:v>
      </x:c>
      <x:c r="D144" s="31" t="str"/>
      <x:c r="E144" s="31" t="str">
        <x:v>No</x:v>
      </x:c>
      <x:c r="F144" s="31" t="str"/>
      <x:c r="G144" s="31" t="str"/>
      <x:c r="H144" s="31" t="str"/>
      <x:c r="I144" s="31" t="str"/>
      <x:c r="J144" s="31" t="str">
        <x:v>No</x:v>
      </x:c>
    </x:row>
    <x:row r="145">
      <x:c r="A145" s="31" t="str"/>
      <x:c r="B145" s="31" t="str">
        <x:v>Hashing</x:v>
      </x:c>
      <x:c r="C145" s="31" t="str">
        <x:v>Easy</x:v>
      </x:c>
      <x:c r="D145" s="31" t="str"/>
      <x:c r="E145" s="31" t="str">
        <x:v>No</x:v>
      </x:c>
      <x:c r="F145" s="31" t="str"/>
      <x:c r="G145" s="31" t="str"/>
      <x:c r="H145" s="31" t="str"/>
      <x:c r="I145" s="31" t="str"/>
      <x:c r="J145" s="31" t="str">
        <x:v>No</x:v>
      </x:c>
    </x:row>
    <x:row r="146">
      <x:c r="A146" s="31" t="str"/>
      <x:c r="B146" s="31" t="str">
        <x:v>Two Pointers</x:v>
      </x:c>
      <x:c r="C146" s="31" t="str">
        <x:v>Medium</x:v>
      </x:c>
      <x:c r="D146" s="31" t="str"/>
      <x:c r="E146" s="31" t="str">
        <x:v>No</x:v>
      </x:c>
      <x:c r="F146" s="31" t="str"/>
      <x:c r="G146" s="31" t="str"/>
      <x:c r="H146" s="31" t="str"/>
      <x:c r="I146" s="31" t="str"/>
      <x:c r="J146" s="31" t="str">
        <x:v>No</x:v>
      </x:c>
    </x:row>
    <x:row r="147">
      <x:c r="A147" s="31" t="str"/>
      <x:c r="B147" s="31" t="str">
        <x:v>Sliding Window</x:v>
      </x:c>
      <x:c r="C147" s="31" t="str">
        <x:v>Hard</x:v>
      </x:c>
      <x:c r="D147" s="31" t="str"/>
      <x:c r="E147" s="31" t="str">
        <x:v>No</x:v>
      </x:c>
      <x:c r="F147" s="31" t="str"/>
      <x:c r="G147" s="31" t="str"/>
      <x:c r="H147" s="31" t="str"/>
      <x:c r="I147" s="31" t="str"/>
      <x:c r="J147" s="31" t="str">
        <x:v>No</x:v>
      </x:c>
    </x:row>
    <x:row r="148">
      <x:c r="A148" s="31" t="str"/>
      <x:c r="B148" s="31" t="str">
        <x:v>Binary Search</x:v>
      </x:c>
      <x:c r="C148" s="31" t="str">
        <x:v>Easy</x:v>
      </x:c>
      <x:c r="D148" s="31" t="str"/>
      <x:c r="E148" s="31" t="str">
        <x:v>No</x:v>
      </x:c>
      <x:c r="F148" s="31" t="str"/>
      <x:c r="G148" s="31" t="str"/>
      <x:c r="H148" s="31" t="str"/>
      <x:c r="I148" s="31" t="str"/>
      <x:c r="J148" s="31" t="str">
        <x:v>No</x:v>
      </x:c>
    </x:row>
    <x:row r="149">
      <x:c r="A149" s="31" t="str"/>
      <x:c r="B149" s="31" t="str">
        <x:v>Stack</x:v>
      </x:c>
      <x:c r="C149" s="31" t="str">
        <x:v>Medium</x:v>
      </x:c>
      <x:c r="D149" s="31" t="str"/>
      <x:c r="E149" s="31" t="str">
        <x:v>No</x:v>
      </x:c>
      <x:c r="F149" s="31" t="str"/>
      <x:c r="G149" s="31" t="str"/>
      <x:c r="H149" s="31" t="str"/>
      <x:c r="I149" s="31" t="str"/>
      <x:c r="J149" s="31" t="str">
        <x:v>No</x:v>
      </x:c>
    </x:row>
    <x:row r="150">
      <x:c r="A150" s="31" t="str"/>
      <x:c r="B150" s="31" t="str">
        <x:v>Queue</x:v>
      </x:c>
      <x:c r="C150" s="31" t="str">
        <x:v>Hard</x:v>
      </x:c>
      <x:c r="D150" s="31" t="str"/>
      <x:c r="E150" s="31" t="str">
        <x:v>No</x:v>
      </x:c>
      <x:c r="F150" s="31" t="str"/>
      <x:c r="G150" s="31" t="str"/>
      <x:c r="H150" s="31" t="str"/>
      <x:c r="I150" s="31" t="str"/>
      <x:c r="J150" s="31" t="str">
        <x:v>No</x:v>
      </x:c>
    </x:row>
    <x:row r="151">
      <x:c r="A151" s="31" t="str"/>
      <x:c r="B151" s="31" t="str">
        <x:v>Linked List</x:v>
      </x:c>
      <x:c r="C151" s="31" t="str">
        <x:v>Easy</x:v>
      </x:c>
      <x:c r="D151" s="31" t="str"/>
      <x:c r="E151" s="31" t="str">
        <x:v>No</x:v>
      </x:c>
      <x:c r="F151" s="31" t="str"/>
      <x:c r="G151" s="31" t="str"/>
      <x:c r="H151" s="31" t="str"/>
      <x:c r="I151" s="31" t="str"/>
      <x:c r="J151" s="31" t="str">
        <x:v>No</x:v>
      </x:c>
    </x:row>
    <x:row r="152">
      <x:c r="A152" s="31" t="str"/>
      <x:c r="B152" s="31" t="str">
        <x:v>Trees</x:v>
      </x:c>
      <x:c r="C152" s="31" t="str">
        <x:v>Medium</x:v>
      </x:c>
      <x:c r="D152" s="31" t="str"/>
      <x:c r="E152" s="31" t="str">
        <x:v>No</x:v>
      </x:c>
      <x:c r="F152" s="31" t="str"/>
      <x:c r="G152" s="31" t="str"/>
      <x:c r="H152" s="31" t="str"/>
      <x:c r="I152" s="31" t="str"/>
      <x:c r="J152" s="31" t="str">
        <x:v>No</x:v>
      </x:c>
    </x:row>
    <x:row r="153">
      <x:c r="A153" s="31" t="str"/>
      <x:c r="B153" s="31" t="str">
        <x:v>BFS</x:v>
      </x:c>
      <x:c r="C153" s="31" t="str">
        <x:v>Hard</x:v>
      </x:c>
      <x:c r="D153" s="31" t="str"/>
      <x:c r="E153" s="31" t="str">
        <x:v>No</x:v>
      </x:c>
      <x:c r="F153" s="31" t="str"/>
      <x:c r="G153" s="31" t="str"/>
      <x:c r="H153" s="31" t="str"/>
      <x:c r="I153" s="31" t="str"/>
      <x:c r="J153" s="31" t="str">
        <x:v>No</x:v>
      </x:c>
    </x:row>
    <x:row r="154">
      <x:c r="A154" s="31" t="str"/>
      <x:c r="B154" s="31" t="str">
        <x:v>DFS</x:v>
      </x:c>
      <x:c r="C154" s="31" t="str">
        <x:v>Easy</x:v>
      </x:c>
      <x:c r="D154" s="31" t="str"/>
      <x:c r="E154" s="31" t="str">
        <x:v>No</x:v>
      </x:c>
      <x:c r="F154" s="31" t="str"/>
      <x:c r="G154" s="31" t="str"/>
      <x:c r="H154" s="31" t="str"/>
      <x:c r="I154" s="31" t="str"/>
      <x:c r="J154" s="31" t="str">
        <x:v>No</x:v>
      </x:c>
    </x:row>
    <x:row r="155">
      <x:c r="A155" s="31" t="str"/>
      <x:c r="B155" s="31" t="str">
        <x:v>Backtracking</x:v>
      </x:c>
      <x:c r="C155" s="31" t="str">
        <x:v>Medium</x:v>
      </x:c>
      <x:c r="D155" s="31" t="str"/>
      <x:c r="E155" s="31" t="str">
        <x:v>No</x:v>
      </x:c>
      <x:c r="F155" s="31" t="str"/>
      <x:c r="G155" s="31" t="str"/>
      <x:c r="H155" s="31" t="str"/>
      <x:c r="I155" s="31" t="str"/>
      <x:c r="J155" s="31" t="str">
        <x:v>No</x:v>
      </x:c>
    </x:row>
    <x:row r="156">
      <x:c r="A156" s="31" t="str"/>
      <x:c r="B156" s="31" t="str">
        <x:v>Heap</x:v>
      </x:c>
      <x:c r="C156" s="31" t="str">
        <x:v>Hard</x:v>
      </x:c>
      <x:c r="D156" s="31" t="str"/>
      <x:c r="E156" s="31" t="str">
        <x:v>No</x:v>
      </x:c>
      <x:c r="F156" s="31" t="str"/>
      <x:c r="G156" s="31" t="str"/>
      <x:c r="H156" s="31" t="str"/>
      <x:c r="I156" s="31" t="str"/>
      <x:c r="J156" s="31" t="str">
        <x:v>No</x:v>
      </x:c>
    </x:row>
    <x:row r="157">
      <x:c r="A157" s="31" t="str"/>
      <x:c r="B157" s="31" t="str">
        <x:v>Graphs</x:v>
      </x:c>
      <x:c r="C157" s="31" t="str">
        <x:v>Easy</x:v>
      </x:c>
      <x:c r="D157" s="31" t="str"/>
      <x:c r="E157" s="31" t="str">
        <x:v>No</x:v>
      </x:c>
      <x:c r="F157" s="31" t="str"/>
      <x:c r="G157" s="31" t="str"/>
      <x:c r="H157" s="31" t="str"/>
      <x:c r="I157" s="31" t="str"/>
      <x:c r="J157" s="31" t="str">
        <x:v>No</x:v>
      </x:c>
    </x:row>
    <x:row r="158">
      <x:c r="A158" s="31" t="str"/>
      <x:c r="B158" s="31" t="str">
        <x:v>Topological Sort</x:v>
      </x:c>
      <x:c r="C158" s="31" t="str">
        <x:v>Medium</x:v>
      </x:c>
      <x:c r="D158" s="31" t="str"/>
      <x:c r="E158" s="31" t="str">
        <x:v>No</x:v>
      </x:c>
      <x:c r="F158" s="31" t="str"/>
      <x:c r="G158" s="31" t="str"/>
      <x:c r="H158" s="31" t="str"/>
      <x:c r="I158" s="31" t="str"/>
      <x:c r="J158" s="31" t="str">
        <x:v>No</x:v>
      </x:c>
    </x:row>
    <x:row r="159">
      <x:c r="A159" s="31" t="str"/>
      <x:c r="B159" s="31" t="str">
        <x:v>Union-Find</x:v>
      </x:c>
      <x:c r="C159" s="31" t="str">
        <x:v>Hard</x:v>
      </x:c>
      <x:c r="D159" s="31" t="str"/>
      <x:c r="E159" s="31" t="str">
        <x:v>No</x:v>
      </x:c>
      <x:c r="F159" s="31" t="str"/>
      <x:c r="G159" s="31" t="str"/>
      <x:c r="H159" s="31" t="str"/>
      <x:c r="I159" s="31" t="str"/>
      <x:c r="J159" s="31" t="str">
        <x:v>No</x:v>
      </x:c>
    </x:row>
    <x:row r="160">
      <x:c r="A160" s="31" t="str"/>
      <x:c r="B160" s="31" t="str">
        <x:v>Trie</x:v>
      </x:c>
      <x:c r="C160" s="31" t="str">
        <x:v>Easy</x:v>
      </x:c>
      <x:c r="D160" s="31" t="str"/>
      <x:c r="E160" s="31" t="str">
        <x:v>No</x:v>
      </x:c>
      <x:c r="F160" s="31" t="str"/>
      <x:c r="G160" s="31" t="str"/>
      <x:c r="H160" s="31" t="str"/>
      <x:c r="I160" s="31" t="str"/>
      <x:c r="J160" s="31" t="str">
        <x:v>No</x:v>
      </x:c>
    </x:row>
    <x:row r="161">
      <x:c r="A161" s="31" t="str"/>
      <x:c r="B161" s="31" t="str">
        <x:v>Greedy</x:v>
      </x:c>
      <x:c r="C161" s="31" t="str">
        <x:v>Medium</x:v>
      </x:c>
      <x:c r="D161" s="31" t="str"/>
      <x:c r="E161" s="31" t="str">
        <x:v>No</x:v>
      </x:c>
      <x:c r="F161" s="31" t="str"/>
      <x:c r="G161" s="31" t="str"/>
      <x:c r="H161" s="31" t="str"/>
      <x:c r="I161" s="31" t="str"/>
      <x:c r="J161" s="31" t="str">
        <x:v>No</x:v>
      </x:c>
    </x:row>
    <x:row r="162">
      <x:c r="A162" s="31" t="str"/>
      <x:c r="B162" s="31" t="str">
        <x:v>Intervals</x:v>
      </x:c>
      <x:c r="C162" s="31" t="str">
        <x:v>Hard</x:v>
      </x:c>
      <x:c r="D162" s="31" t="str"/>
      <x:c r="E162" s="31" t="str">
        <x:v>No</x:v>
      </x:c>
      <x:c r="F162" s="31" t="str"/>
      <x:c r="G162" s="31" t="str"/>
      <x:c r="H162" s="31" t="str"/>
      <x:c r="I162" s="31" t="str"/>
      <x:c r="J162" s="31" t="str">
        <x:v>No</x:v>
      </x:c>
    </x:row>
    <x:row r="163">
      <x:c r="A163" s="31" t="str"/>
      <x:c r="B163" s="31" t="str">
        <x:v>Dynamic Programming</x:v>
      </x:c>
      <x:c r="C163" s="31" t="str">
        <x:v>Easy</x:v>
      </x:c>
      <x:c r="D163" s="31" t="str"/>
      <x:c r="E163" s="31" t="str">
        <x:v>No</x:v>
      </x:c>
      <x:c r="F163" s="31" t="str"/>
      <x:c r="G163" s="31" t="str"/>
      <x:c r="H163" s="31" t="str"/>
      <x:c r="I163" s="31" t="str"/>
      <x:c r="J163" s="31" t="str">
        <x:v>No</x:v>
      </x:c>
    </x:row>
    <x:row r="164">
      <x:c r="A164" s="31" t="str"/>
      <x:c r="B164" s="31" t="str">
        <x:v>Arrays</x:v>
      </x:c>
      <x:c r="C164" s="31" t="str">
        <x:v>Medium</x:v>
      </x:c>
      <x:c r="D164" s="31" t="str"/>
      <x:c r="E164" s="31" t="str">
        <x:v>No</x:v>
      </x:c>
      <x:c r="F164" s="31" t="str"/>
      <x:c r="G164" s="31" t="str"/>
      <x:c r="H164" s="31" t="str"/>
      <x:c r="I164" s="31" t="str"/>
      <x:c r="J164" s="31" t="str">
        <x:v>No</x:v>
      </x:c>
    </x:row>
    <x:row r="165">
      <x:c r="A165" s="31" t="str"/>
      <x:c r="B165" s="31" t="str">
        <x:v>Hashing</x:v>
      </x:c>
      <x:c r="C165" s="31" t="str">
        <x:v>Hard</x:v>
      </x:c>
      <x:c r="D165" s="31" t="str"/>
      <x:c r="E165" s="31" t="str">
        <x:v>No</x:v>
      </x:c>
      <x:c r="F165" s="31" t="str"/>
      <x:c r="G165" s="31" t="str"/>
      <x:c r="H165" s="31" t="str"/>
      <x:c r="I165" s="31" t="str"/>
      <x:c r="J165" s="31" t="str">
        <x:v>No</x:v>
      </x:c>
    </x:row>
    <x:row r="166">
      <x:c r="A166" s="31" t="str"/>
      <x:c r="B166" s="31" t="str">
        <x:v>Two Pointers</x:v>
      </x:c>
      <x:c r="C166" s="31" t="str">
        <x:v>Easy</x:v>
      </x:c>
      <x:c r="D166" s="31" t="str"/>
      <x:c r="E166" s="31" t="str">
        <x:v>No</x:v>
      </x:c>
      <x:c r="F166" s="31" t="str"/>
      <x:c r="G166" s="31" t="str"/>
      <x:c r="H166" s="31" t="str"/>
      <x:c r="I166" s="31" t="str"/>
      <x:c r="J166" s="31" t="str">
        <x:v>No</x:v>
      </x:c>
    </x:row>
    <x:row r="167">
      <x:c r="A167" s="31" t="str"/>
      <x:c r="B167" s="31" t="str">
        <x:v>Sliding Window</x:v>
      </x:c>
      <x:c r="C167" s="31" t="str">
        <x:v>Medium</x:v>
      </x:c>
      <x:c r="D167" s="31" t="str"/>
      <x:c r="E167" s="31" t="str">
        <x:v>No</x:v>
      </x:c>
      <x:c r="F167" s="31" t="str"/>
      <x:c r="G167" s="31" t="str"/>
      <x:c r="H167" s="31" t="str"/>
      <x:c r="I167" s="31" t="str"/>
      <x:c r="J167" s="31" t="str">
        <x:v>No</x:v>
      </x:c>
    </x:row>
    <x:row r="168">
      <x:c r="A168" s="31" t="str"/>
      <x:c r="B168" s="31" t="str">
        <x:v>Binary Search</x:v>
      </x:c>
      <x:c r="C168" s="31" t="str">
        <x:v>Hard</x:v>
      </x:c>
      <x:c r="D168" s="31" t="str"/>
      <x:c r="E168" s="31" t="str">
        <x:v>No</x:v>
      </x:c>
      <x:c r="F168" s="31" t="str"/>
      <x:c r="G168" s="31" t="str"/>
      <x:c r="H168" s="31" t="str"/>
      <x:c r="I168" s="31" t="str"/>
      <x:c r="J168" s="31" t="str">
        <x:v>No</x:v>
      </x:c>
    </x:row>
    <x:row r="169">
      <x:c r="A169" s="31" t="str"/>
      <x:c r="B169" s="31" t="str">
        <x:v>Stack</x:v>
      </x:c>
      <x:c r="C169" s="31" t="str">
        <x:v>Easy</x:v>
      </x:c>
      <x:c r="D169" s="31" t="str"/>
      <x:c r="E169" s="31" t="str">
        <x:v>No</x:v>
      </x:c>
      <x:c r="F169" s="31" t="str"/>
      <x:c r="G169" s="31" t="str"/>
      <x:c r="H169" s="31" t="str"/>
      <x:c r="I169" s="31" t="str"/>
      <x:c r="J169" s="31" t="str">
        <x:v>No</x:v>
      </x:c>
    </x:row>
    <x:row r="170">
      <x:c r="A170" s="31" t="str"/>
      <x:c r="B170" s="31" t="str">
        <x:v>Queue</x:v>
      </x:c>
      <x:c r="C170" s="31" t="str">
        <x:v>Medium</x:v>
      </x:c>
      <x:c r="D170" s="31" t="str"/>
      <x:c r="E170" s="31" t="str">
        <x:v>No</x:v>
      </x:c>
      <x:c r="F170" s="31" t="str"/>
      <x:c r="G170" s="31" t="str"/>
      <x:c r="H170" s="31" t="str"/>
      <x:c r="I170" s="31" t="str"/>
      <x:c r="J170" s="31" t="str">
        <x:v>No</x:v>
      </x:c>
    </x:row>
    <x:row r="171">
      <x:c r="A171" s="31" t="str"/>
      <x:c r="B171" s="31" t="str">
        <x:v>Linked List</x:v>
      </x:c>
      <x:c r="C171" s="31" t="str">
        <x:v>Hard</x:v>
      </x:c>
      <x:c r="D171" s="31" t="str"/>
      <x:c r="E171" s="31" t="str">
        <x:v>No</x:v>
      </x:c>
      <x:c r="F171" s="31" t="str"/>
      <x:c r="G171" s="31" t="str"/>
      <x:c r="H171" s="31" t="str"/>
      <x:c r="I171" s="31" t="str"/>
      <x:c r="J171" s="31" t="str">
        <x:v>No</x:v>
      </x:c>
    </x:row>
    <x:row r="172">
      <x:c r="A172" s="31" t="str"/>
      <x:c r="B172" s="31" t="str">
        <x:v>Trees</x:v>
      </x:c>
      <x:c r="C172" s="31" t="str">
        <x:v>Easy</x:v>
      </x:c>
      <x:c r="D172" s="31" t="str"/>
      <x:c r="E172" s="31" t="str">
        <x:v>No</x:v>
      </x:c>
      <x:c r="F172" s="31" t="str"/>
      <x:c r="G172" s="31" t="str"/>
      <x:c r="H172" s="31" t="str"/>
      <x:c r="I172" s="31" t="str"/>
      <x:c r="J172" s="31" t="str">
        <x:v>No</x:v>
      </x:c>
    </x:row>
    <x:row r="173">
      <x:c r="A173" s="31" t="str"/>
      <x:c r="B173" s="31" t="str">
        <x:v>BFS</x:v>
      </x:c>
      <x:c r="C173" s="31" t="str">
        <x:v>Medium</x:v>
      </x:c>
      <x:c r="D173" s="31" t="str"/>
      <x:c r="E173" s="31" t="str">
        <x:v>No</x:v>
      </x:c>
      <x:c r="F173" s="31" t="str"/>
      <x:c r="G173" s="31" t="str"/>
      <x:c r="H173" s="31" t="str"/>
      <x:c r="I173" s="31" t="str"/>
      <x:c r="J173" s="31" t="str">
        <x:v>No</x:v>
      </x:c>
    </x:row>
    <x:row r="174">
      <x:c r="A174" s="31" t="str"/>
      <x:c r="B174" s="31" t="str">
        <x:v>DFS</x:v>
      </x:c>
      <x:c r="C174" s="31" t="str">
        <x:v>Hard</x:v>
      </x:c>
      <x:c r="D174" s="31" t="str"/>
      <x:c r="E174" s="31" t="str">
        <x:v>No</x:v>
      </x:c>
      <x:c r="F174" s="31" t="str"/>
      <x:c r="G174" s="31" t="str"/>
      <x:c r="H174" s="31" t="str"/>
      <x:c r="I174" s="31" t="str"/>
      <x:c r="J174" s="31" t="str">
        <x:v>No</x:v>
      </x:c>
    </x:row>
    <x:row r="175">
      <x:c r="A175" s="31" t="str"/>
      <x:c r="B175" s="31" t="str">
        <x:v>Backtracking</x:v>
      </x:c>
      <x:c r="C175" s="31" t="str">
        <x:v>Easy</x:v>
      </x:c>
      <x:c r="D175" s="31" t="str"/>
      <x:c r="E175" s="31" t="str">
        <x:v>No</x:v>
      </x:c>
      <x:c r="F175" s="31" t="str"/>
      <x:c r="G175" s="31" t="str"/>
      <x:c r="H175" s="31" t="str"/>
      <x:c r="I175" s="31" t="str"/>
      <x:c r="J175" s="31" t="str">
        <x:v>No</x:v>
      </x:c>
    </x:row>
    <x:row r="176">
      <x:c r="A176" s="31" t="str"/>
      <x:c r="B176" s="31" t="str">
        <x:v>Heap</x:v>
      </x:c>
      <x:c r="C176" s="31" t="str">
        <x:v>Medium</x:v>
      </x:c>
      <x:c r="D176" s="31" t="str"/>
      <x:c r="E176" s="31" t="str">
        <x:v>No</x:v>
      </x:c>
      <x:c r="F176" s="31" t="str"/>
      <x:c r="G176" s="31" t="str"/>
      <x:c r="H176" s="31" t="str"/>
      <x:c r="I176" s="31" t="str"/>
      <x:c r="J176" s="31" t="str">
        <x:v>No</x:v>
      </x:c>
    </x:row>
    <x:row r="177">
      <x:c r="A177" s="31" t="str"/>
      <x:c r="B177" s="31" t="str">
        <x:v>Graphs</x:v>
      </x:c>
      <x:c r="C177" s="31" t="str">
        <x:v>Hard</x:v>
      </x:c>
      <x:c r="D177" s="31" t="str"/>
      <x:c r="E177" s="31" t="str">
        <x:v>No</x:v>
      </x:c>
      <x:c r="F177" s="31" t="str"/>
      <x:c r="G177" s="31" t="str"/>
      <x:c r="H177" s="31" t="str"/>
      <x:c r="I177" s="31" t="str"/>
      <x:c r="J177" s="31" t="str">
        <x:v>No</x:v>
      </x:c>
    </x:row>
    <x:row r="178">
      <x:c r="A178" s="31" t="str"/>
      <x:c r="B178" s="31" t="str">
        <x:v>Topological Sort</x:v>
      </x:c>
      <x:c r="C178" s="31" t="str">
        <x:v>Easy</x:v>
      </x:c>
      <x:c r="D178" s="31" t="str"/>
      <x:c r="E178" s="31" t="str">
        <x:v>No</x:v>
      </x:c>
      <x:c r="F178" s="31" t="str"/>
      <x:c r="G178" s="31" t="str"/>
      <x:c r="H178" s="31" t="str"/>
      <x:c r="I178" s="31" t="str"/>
      <x:c r="J178" s="31" t="str">
        <x:v>No</x:v>
      </x:c>
    </x:row>
    <x:row r="179">
      <x:c r="A179" s="31" t="str"/>
      <x:c r="B179" s="31" t="str">
        <x:v>Union-Find</x:v>
      </x:c>
      <x:c r="C179" s="31" t="str">
        <x:v>Medium</x:v>
      </x:c>
      <x:c r="D179" s="31" t="str"/>
      <x:c r="E179" s="31" t="str">
        <x:v>No</x:v>
      </x:c>
      <x:c r="F179" s="31" t="str"/>
      <x:c r="G179" s="31" t="str"/>
      <x:c r="H179" s="31" t="str"/>
      <x:c r="I179" s="31" t="str"/>
      <x:c r="J179" s="31" t="str">
        <x:v>No</x:v>
      </x:c>
    </x:row>
    <x:row r="180">
      <x:c r="A180" s="31" t="str"/>
      <x:c r="B180" s="31" t="str">
        <x:v>Trie</x:v>
      </x:c>
      <x:c r="C180" s="31" t="str">
        <x:v>Hard</x:v>
      </x:c>
      <x:c r="D180" s="31" t="str"/>
      <x:c r="E180" s="31" t="str">
        <x:v>No</x:v>
      </x:c>
      <x:c r="F180" s="31" t="str"/>
      <x:c r="G180" s="31" t="str"/>
      <x:c r="H180" s="31" t="str"/>
      <x:c r="I180" s="31" t="str"/>
      <x:c r="J180" s="31" t="str">
        <x:v>No</x:v>
      </x:c>
    </x:row>
    <x:row r="181">
      <x:c r="A181" s="31" t="str"/>
      <x:c r="B181" s="31" t="str">
        <x:v>Greedy</x:v>
      </x:c>
      <x:c r="C181" s="31" t="str">
        <x:v>Easy</x:v>
      </x:c>
      <x:c r="D181" s="31" t="str"/>
      <x:c r="E181" s="31" t="str">
        <x:v>No</x:v>
      </x:c>
      <x:c r="F181" s="31" t="str"/>
      <x:c r="G181" s="31" t="str"/>
      <x:c r="H181" s="31" t="str"/>
      <x:c r="I181" s="31" t="str"/>
      <x:c r="J181" s="31" t="str">
        <x:v>No</x:v>
      </x:c>
    </x:row>
    <x:row r="182">
      <x:c r="A182" s="31" t="str"/>
      <x:c r="B182" s="31" t="str">
        <x:v>Intervals</x:v>
      </x:c>
      <x:c r="C182" s="31" t="str">
        <x:v>Medium</x:v>
      </x:c>
      <x:c r="D182" s="31" t="str"/>
      <x:c r="E182" s="31" t="str">
        <x:v>No</x:v>
      </x:c>
      <x:c r="F182" s="31" t="str"/>
      <x:c r="G182" s="31" t="str"/>
      <x:c r="H182" s="31" t="str"/>
      <x:c r="I182" s="31" t="str"/>
      <x:c r="J182" s="31" t="str">
        <x:v>No</x:v>
      </x:c>
    </x:row>
    <x:row r="183">
      <x:c r="A183" s="31" t="str"/>
      <x:c r="B183" s="31" t="str">
        <x:v>Dynamic Programming</x:v>
      </x:c>
      <x:c r="C183" s="31" t="str">
        <x:v>Hard</x:v>
      </x:c>
      <x:c r="D183" s="31" t="str"/>
      <x:c r="E183" s="31" t="str">
        <x:v>No</x:v>
      </x:c>
      <x:c r="F183" s="31" t="str"/>
      <x:c r="G183" s="31" t="str"/>
      <x:c r="H183" s="31" t="str"/>
      <x:c r="I183" s="31" t="str"/>
      <x:c r="J183" s="31" t="str">
        <x:v>No</x:v>
      </x:c>
    </x:row>
    <x:row r="184">
      <x:c r="A184" s="31" t="str"/>
      <x:c r="B184" s="31" t="str">
        <x:v>Arrays</x:v>
      </x:c>
      <x:c r="C184" s="31" t="str">
        <x:v>Easy</x:v>
      </x:c>
      <x:c r="D184" s="31" t="str"/>
      <x:c r="E184" s="31" t="str">
        <x:v>No</x:v>
      </x:c>
      <x:c r="F184" s="31" t="str"/>
      <x:c r="G184" s="31" t="str"/>
      <x:c r="H184" s="31" t="str"/>
      <x:c r="I184" s="31" t="str"/>
      <x:c r="J184" s="31" t="str">
        <x:v>No</x:v>
      </x:c>
    </x:row>
    <x:row r="185">
      <x:c r="A185" s="31" t="str"/>
      <x:c r="B185" s="31" t="str">
        <x:v>Hashing</x:v>
      </x:c>
      <x:c r="C185" s="31" t="str">
        <x:v>Medium</x:v>
      </x:c>
      <x:c r="D185" s="31" t="str"/>
      <x:c r="E185" s="31" t="str">
        <x:v>No</x:v>
      </x:c>
      <x:c r="F185" s="31" t="str"/>
      <x:c r="G185" s="31" t="str"/>
      <x:c r="H185" s="31" t="str"/>
      <x:c r="I185" s="31" t="str"/>
      <x:c r="J185" s="31" t="str">
        <x:v>No</x:v>
      </x:c>
    </x:row>
    <x:row r="186">
      <x:c r="A186" s="31" t="str"/>
      <x:c r="B186" s="31" t="str">
        <x:v>Two Pointers</x:v>
      </x:c>
      <x:c r="C186" s="31" t="str">
        <x:v>Hard</x:v>
      </x:c>
      <x:c r="D186" s="31" t="str"/>
      <x:c r="E186" s="31" t="str">
        <x:v>No</x:v>
      </x:c>
      <x:c r="F186" s="31" t="str"/>
      <x:c r="G186" s="31" t="str"/>
      <x:c r="H186" s="31" t="str"/>
      <x:c r="I186" s="31" t="str"/>
      <x:c r="J186" s="31" t="str">
        <x:v>No</x:v>
      </x:c>
    </x:row>
    <x:row r="187">
      <x:c r="A187" s="31" t="str"/>
      <x:c r="B187" s="31" t="str">
        <x:v>Sliding Window</x:v>
      </x:c>
      <x:c r="C187" s="31" t="str">
        <x:v>Easy</x:v>
      </x:c>
      <x:c r="D187" s="31" t="str"/>
      <x:c r="E187" s="31" t="str">
        <x:v>No</x:v>
      </x:c>
      <x:c r="F187" s="31" t="str"/>
      <x:c r="G187" s="31" t="str"/>
      <x:c r="H187" s="31" t="str"/>
      <x:c r="I187" s="31" t="str"/>
      <x:c r="J187" s="31" t="str">
        <x:v>No</x:v>
      </x:c>
    </x:row>
    <x:row r="188">
      <x:c r="A188" s="31" t="str"/>
      <x:c r="B188" s="31" t="str">
        <x:v>Binary Search</x:v>
      </x:c>
      <x:c r="C188" s="31" t="str">
        <x:v>Medium</x:v>
      </x:c>
      <x:c r="D188" s="31" t="str"/>
      <x:c r="E188" s="31" t="str">
        <x:v>No</x:v>
      </x:c>
      <x:c r="F188" s="31" t="str"/>
      <x:c r="G188" s="31" t="str"/>
      <x:c r="H188" s="31" t="str"/>
      <x:c r="I188" s="31" t="str"/>
      <x:c r="J188" s="31" t="str">
        <x:v>No</x:v>
      </x:c>
    </x:row>
    <x:row r="189">
      <x:c r="A189" s="31" t="str"/>
      <x:c r="B189" s="31" t="str">
        <x:v>Stack</x:v>
      </x:c>
      <x:c r="C189" s="31" t="str">
        <x:v>Hard</x:v>
      </x:c>
      <x:c r="D189" s="31" t="str"/>
      <x:c r="E189" s="31" t="str">
        <x:v>No</x:v>
      </x:c>
      <x:c r="F189" s="31" t="str"/>
      <x:c r="G189" s="31" t="str"/>
      <x:c r="H189" s="31" t="str"/>
      <x:c r="I189" s="31" t="str"/>
      <x:c r="J189" s="31" t="str">
        <x:v>No</x:v>
      </x:c>
    </x:row>
    <x:row r="190">
      <x:c r="A190" s="31" t="str"/>
      <x:c r="B190" s="31" t="str">
        <x:v>Queue</x:v>
      </x:c>
      <x:c r="C190" s="31" t="str">
        <x:v>Easy</x:v>
      </x:c>
      <x:c r="D190" s="31" t="str"/>
      <x:c r="E190" s="31" t="str">
        <x:v>No</x:v>
      </x:c>
      <x:c r="F190" s="31" t="str"/>
      <x:c r="G190" s="31" t="str"/>
      <x:c r="H190" s="31" t="str"/>
      <x:c r="I190" s="31" t="str"/>
      <x:c r="J190" s="31" t="str">
        <x:v>No</x:v>
      </x:c>
    </x:row>
    <x:row r="191">
      <x:c r="A191" s="31" t="str"/>
      <x:c r="B191" s="31" t="str">
        <x:v>Linked List</x:v>
      </x:c>
      <x:c r="C191" s="31" t="str">
        <x:v>Medium</x:v>
      </x:c>
      <x:c r="D191" s="31" t="str"/>
      <x:c r="E191" s="31" t="str">
        <x:v>No</x:v>
      </x:c>
      <x:c r="F191" s="31" t="str"/>
      <x:c r="G191" s="31" t="str"/>
      <x:c r="H191" s="31" t="str"/>
      <x:c r="I191" s="31" t="str"/>
      <x:c r="J191" s="31" t="str">
        <x:v>No</x:v>
      </x:c>
    </x:row>
    <x:row r="192">
      <x:c r="A192" s="31" t="str"/>
      <x:c r="B192" s="31" t="str">
        <x:v>Trees</x:v>
      </x:c>
      <x:c r="C192" s="31" t="str">
        <x:v>Hard</x:v>
      </x:c>
      <x:c r="D192" s="31" t="str"/>
      <x:c r="E192" s="31" t="str">
        <x:v>No</x:v>
      </x:c>
      <x:c r="F192" s="31" t="str"/>
      <x:c r="G192" s="31" t="str"/>
      <x:c r="H192" s="31" t="str"/>
      <x:c r="I192" s="31" t="str"/>
      <x:c r="J192" s="31" t="str">
        <x:v>No</x:v>
      </x:c>
    </x:row>
    <x:row r="193">
      <x:c r="A193" s="31" t="str"/>
      <x:c r="B193" s="31" t="str">
        <x:v>BFS</x:v>
      </x:c>
      <x:c r="C193" s="31" t="str">
        <x:v>Easy</x:v>
      </x:c>
      <x:c r="D193" s="31" t="str"/>
      <x:c r="E193" s="31" t="str">
        <x:v>No</x:v>
      </x:c>
      <x:c r="F193" s="31" t="str"/>
      <x:c r="G193" s="31" t="str"/>
      <x:c r="H193" s="31" t="str"/>
      <x:c r="I193" s="31" t="str"/>
      <x:c r="J193" s="31" t="str">
        <x:v>No</x:v>
      </x:c>
    </x:row>
    <x:row r="194">
      <x:c r="A194" s="31" t="str"/>
      <x:c r="B194" s="31" t="str">
        <x:v>DFS</x:v>
      </x:c>
      <x:c r="C194" s="31" t="str">
        <x:v>Medium</x:v>
      </x:c>
      <x:c r="D194" s="31" t="str"/>
      <x:c r="E194" s="31" t="str">
        <x:v>No</x:v>
      </x:c>
      <x:c r="F194" s="31" t="str"/>
      <x:c r="G194" s="31" t="str"/>
      <x:c r="H194" s="31" t="str"/>
      <x:c r="I194" s="31" t="str"/>
      <x:c r="J194" s="31" t="str">
        <x:v>No</x:v>
      </x:c>
    </x:row>
    <x:row r="195">
      <x:c r="A195" s="31" t="str"/>
      <x:c r="B195" s="31" t="str">
        <x:v>Backtracking</x:v>
      </x:c>
      <x:c r="C195" s="31" t="str">
        <x:v>Hard</x:v>
      </x:c>
      <x:c r="D195" s="31" t="str"/>
      <x:c r="E195" s="31" t="str">
        <x:v>No</x:v>
      </x:c>
      <x:c r="F195" s="31" t="str"/>
      <x:c r="G195" s="31" t="str"/>
      <x:c r="H195" s="31" t="str"/>
      <x:c r="I195" s="31" t="str"/>
      <x:c r="J195" s="31" t="str">
        <x:v>No</x:v>
      </x:c>
    </x:row>
    <x:row r="196">
      <x:c r="A196" s="31" t="str"/>
      <x:c r="B196" s="31" t="str">
        <x:v>Heap</x:v>
      </x:c>
      <x:c r="C196" s="31" t="str">
        <x:v>Easy</x:v>
      </x:c>
      <x:c r="D196" s="31" t="str"/>
      <x:c r="E196" s="31" t="str">
        <x:v>No</x:v>
      </x:c>
      <x:c r="F196" s="31" t="str"/>
      <x:c r="G196" s="31" t="str"/>
      <x:c r="H196" s="31" t="str"/>
      <x:c r="I196" s="31" t="str"/>
      <x:c r="J196" s="31" t="str">
        <x:v>No</x:v>
      </x:c>
    </x:row>
    <x:row r="197">
      <x:c r="A197" s="31" t="str"/>
      <x:c r="B197" s="31" t="str">
        <x:v>Graphs</x:v>
      </x:c>
      <x:c r="C197" s="31" t="str">
        <x:v>Medium</x:v>
      </x:c>
      <x:c r="D197" s="31" t="str"/>
      <x:c r="E197" s="31" t="str">
        <x:v>No</x:v>
      </x:c>
      <x:c r="F197" s="31" t="str"/>
      <x:c r="G197" s="31" t="str"/>
      <x:c r="H197" s="31" t="str"/>
      <x:c r="I197" s="31" t="str"/>
      <x:c r="J197" s="31" t="str">
        <x:v>No</x:v>
      </x:c>
    </x:row>
    <x:row r="198">
      <x:c r="A198" s="31" t="str"/>
      <x:c r="B198" s="31" t="str">
        <x:v>Topological Sort</x:v>
      </x:c>
      <x:c r="C198" s="31" t="str">
        <x:v>Hard</x:v>
      </x:c>
      <x:c r="D198" s="31" t="str"/>
      <x:c r="E198" s="31" t="str">
        <x:v>No</x:v>
      </x:c>
      <x:c r="F198" s="31" t="str"/>
      <x:c r="G198" s="31" t="str"/>
      <x:c r="H198" s="31" t="str"/>
      <x:c r="I198" s="31" t="str"/>
      <x:c r="J198" s="31" t="str">
        <x:v>No</x:v>
      </x:c>
    </x:row>
    <x:row r="199">
      <x:c r="A199" s="31" t="str"/>
      <x:c r="B199" s="31" t="str">
        <x:v>Union-Find</x:v>
      </x:c>
      <x:c r="C199" s="31" t="str">
        <x:v>Easy</x:v>
      </x:c>
      <x:c r="D199" s="31" t="str"/>
      <x:c r="E199" s="31" t="str">
        <x:v>No</x:v>
      </x:c>
      <x:c r="F199" s="31" t="str"/>
      <x:c r="G199" s="31" t="str"/>
      <x:c r="H199" s="31" t="str"/>
      <x:c r="I199" s="31" t="str"/>
      <x:c r="J199" s="31" t="str">
        <x:v>No</x:v>
      </x:c>
    </x:row>
    <x:row r="200">
      <x:c r="A200" s="31" t="str"/>
      <x:c r="B200" s="31" t="str">
        <x:v>Trie</x:v>
      </x:c>
      <x:c r="C200" s="31" t="str">
        <x:v>Medium</x:v>
      </x:c>
      <x:c r="D200" s="31" t="str"/>
      <x:c r="E200" s="31" t="str">
        <x:v>No</x:v>
      </x:c>
      <x:c r="F200" s="31" t="str"/>
      <x:c r="G200" s="31" t="str"/>
      <x:c r="H200" s="31" t="str"/>
      <x:c r="I200" s="31" t="str"/>
      <x:c r="J200" s="31" t="str">
        <x:v>No</x:v>
      </x:c>
    </x:row>
    <x:row r="201">
      <x:c r="A201" s="31" t="str"/>
      <x:c r="B201" s="31" t="str">
        <x:v>Greedy</x:v>
      </x:c>
      <x:c r="C201" s="31" t="str">
        <x:v>Hard</x:v>
      </x:c>
      <x:c r="D201" s="31" t="str"/>
      <x:c r="E201" s="31" t="str">
        <x:v>No</x:v>
      </x:c>
      <x:c r="F201" s="31" t="str"/>
      <x:c r="G201" s="31" t="str"/>
      <x:c r="H201" s="31" t="str"/>
      <x:c r="I201" s="31" t="str"/>
      <x:c r="J201" s="31" t="str">
        <x:v>No</x:v>
      </x:c>
    </x:row>
    <x:row r="202">
      <x:c r="A202" s="31" t="str"/>
      <x:c r="B202" s="31" t="str">
        <x:v>Intervals</x:v>
      </x:c>
      <x:c r="C202" s="31" t="str">
        <x:v>Easy</x:v>
      </x:c>
      <x:c r="D202" s="31" t="str"/>
      <x:c r="E202" s="31" t="str">
        <x:v>No</x:v>
      </x:c>
      <x:c r="F202" s="31" t="str"/>
      <x:c r="G202" s="31" t="str"/>
      <x:c r="H202" s="31" t="str"/>
      <x:c r="I202" s="31" t="str"/>
      <x:c r="J202" s="31" t="str">
        <x:v>No</x:v>
      </x:c>
    </x:row>
    <x:row r="203">
      <x:c r="A203" s="31" t="str"/>
      <x:c r="B203" s="31" t="str">
        <x:v>Dynamic Programming</x:v>
      </x:c>
      <x:c r="C203" s="31" t="str">
        <x:v>Medium</x:v>
      </x:c>
      <x:c r="D203" s="31" t="str"/>
      <x:c r="E203" s="31" t="str">
        <x:v>No</x:v>
      </x:c>
      <x:c r="F203" s="31" t="str"/>
      <x:c r="G203" s="31" t="str"/>
      <x:c r="H203" s="31" t="str"/>
      <x:c r="I203" s="31" t="str"/>
      <x:c r="J203" s="31" t="str">
        <x:v>No</x:v>
      </x:c>
    </x:row>
    <x:row r="204">
      <x:c r="A204" s="31" t="str"/>
      <x:c r="B204" s="31" t="str">
        <x:v>Arrays</x:v>
      </x:c>
      <x:c r="C204" s="31" t="str">
        <x:v>Hard</x:v>
      </x:c>
      <x:c r="D204" s="31" t="str"/>
      <x:c r="E204" s="31" t="str">
        <x:v>No</x:v>
      </x:c>
      <x:c r="F204" s="31" t="str"/>
      <x:c r="G204" s="31" t="str"/>
      <x:c r="H204" s="31" t="str"/>
      <x:c r="I204" s="31" t="str"/>
      <x:c r="J204" s="31" t="str">
        <x:v>No</x:v>
      </x:c>
    </x:row>
    <x:row r="205">
      <x:c r="A205" s="31" t="str"/>
      <x:c r="B205" s="31" t="str">
        <x:v>Hashing</x:v>
      </x:c>
      <x:c r="C205" s="31" t="str">
        <x:v>Easy</x:v>
      </x:c>
      <x:c r="D205" s="31" t="str"/>
      <x:c r="E205" s="31" t="str">
        <x:v>No</x:v>
      </x:c>
      <x:c r="F205" s="31" t="str"/>
      <x:c r="G205" s="31" t="str"/>
      <x:c r="H205" s="31" t="str"/>
      <x:c r="I205" s="31" t="str"/>
      <x:c r="J205" s="31" t="str">
        <x:v>No</x:v>
      </x:c>
    </x:row>
    <x:row r="206">
      <x:c r="A206" s="31" t="str"/>
      <x:c r="B206" s="31" t="str">
        <x:v>Two Pointers</x:v>
      </x:c>
      <x:c r="C206" s="31" t="str">
        <x:v>Medium</x:v>
      </x:c>
      <x:c r="D206" s="31" t="str"/>
      <x:c r="E206" s="31" t="str">
        <x:v>No</x:v>
      </x:c>
      <x:c r="F206" s="31" t="str"/>
      <x:c r="G206" s="31" t="str"/>
      <x:c r="H206" s="31" t="str"/>
      <x:c r="I206" s="31" t="str"/>
      <x:c r="J206" s="31" t="str">
        <x:v>No</x:v>
      </x:c>
    </x:row>
    <x:row r="207">
      <x:c r="A207" s="31" t="str"/>
      <x:c r="B207" s="31" t="str">
        <x:v>Sliding Window</x:v>
      </x:c>
      <x:c r="C207" s="31" t="str">
        <x:v>Hard</x:v>
      </x:c>
      <x:c r="D207" s="31" t="str"/>
      <x:c r="E207" s="31" t="str">
        <x:v>No</x:v>
      </x:c>
      <x:c r="F207" s="31" t="str"/>
      <x:c r="G207" s="31" t="str"/>
      <x:c r="H207" s="31" t="str"/>
      <x:c r="I207" s="31" t="str"/>
      <x:c r="J207" s="31" t="str">
        <x:v>No</x:v>
      </x:c>
    </x:row>
    <x:row r="208">
      <x:c r="A208" s="31" t="str"/>
      <x:c r="B208" s="31" t="str">
        <x:v>Binary Search</x:v>
      </x:c>
      <x:c r="C208" s="31" t="str">
        <x:v>Easy</x:v>
      </x:c>
      <x:c r="D208" s="31" t="str"/>
      <x:c r="E208" s="31" t="str">
        <x:v>No</x:v>
      </x:c>
      <x:c r="F208" s="31" t="str"/>
      <x:c r="G208" s="31" t="str"/>
      <x:c r="H208" s="31" t="str"/>
      <x:c r="I208" s="31" t="str"/>
      <x:c r="J208" s="31" t="str">
        <x:v>No</x:v>
      </x:c>
    </x:row>
    <x:row r="209">
      <x:c r="A209" s="31" t="str"/>
      <x:c r="B209" s="31" t="str">
        <x:v>Stack</x:v>
      </x:c>
      <x:c r="C209" s="31" t="str">
        <x:v>Medium</x:v>
      </x:c>
      <x:c r="D209" s="31" t="str"/>
      <x:c r="E209" s="31" t="str">
        <x:v>No</x:v>
      </x:c>
      <x:c r="F209" s="31" t="str"/>
      <x:c r="G209" s="31" t="str"/>
      <x:c r="H209" s="31" t="str"/>
      <x:c r="I209" s="31" t="str"/>
      <x:c r="J209" s="31" t="str">
        <x:v>No</x:v>
      </x:c>
    </x:row>
    <x:row r="210">
      <x:c r="A210" s="31" t="str"/>
      <x:c r="B210" s="31" t="str">
        <x:v>Queue</x:v>
      </x:c>
      <x:c r="C210" s="31" t="str">
        <x:v>Hard</x:v>
      </x:c>
      <x:c r="D210" s="31" t="str"/>
      <x:c r="E210" s="31" t="str">
        <x:v>No</x:v>
      </x:c>
      <x:c r="F210" s="31" t="str"/>
      <x:c r="G210" s="31" t="str"/>
      <x:c r="H210" s="31" t="str"/>
      <x:c r="I210" s="31" t="str"/>
      <x:c r="J210" s="31" t="str">
        <x:v>No</x:v>
      </x:c>
    </x:row>
    <x:row r="211">
      <x:c r="A211" s="31" t="str"/>
      <x:c r="B211" s="31" t="str">
        <x:v>Linked List</x:v>
      </x:c>
      <x:c r="C211" s="31" t="str">
        <x:v>Easy</x:v>
      </x:c>
      <x:c r="D211" s="31" t="str"/>
      <x:c r="E211" s="31" t="str">
        <x:v>No</x:v>
      </x:c>
      <x:c r="F211" s="31" t="str"/>
      <x:c r="G211" s="31" t="str"/>
      <x:c r="H211" s="31" t="str"/>
      <x:c r="I211" s="31" t="str"/>
      <x:c r="J211" s="31" t="str">
        <x:v>No</x:v>
      </x:c>
    </x:row>
    <x:row r="212">
      <x:c r="A212" s="31" t="str"/>
      <x:c r="B212" s="31" t="str">
        <x:v>Trees</x:v>
      </x:c>
      <x:c r="C212" s="31" t="str">
        <x:v>Medium</x:v>
      </x:c>
      <x:c r="D212" s="31" t="str"/>
      <x:c r="E212" s="31" t="str">
        <x:v>No</x:v>
      </x:c>
      <x:c r="F212" s="31" t="str"/>
      <x:c r="G212" s="31" t="str"/>
      <x:c r="H212" s="31" t="str"/>
      <x:c r="I212" s="31" t="str"/>
      <x:c r="J212" s="31" t="str">
        <x:v>No</x:v>
      </x:c>
    </x:row>
    <x:row r="213">
      <x:c r="A213" s="31" t="str"/>
      <x:c r="B213" s="31" t="str">
        <x:v>BFS</x:v>
      </x:c>
      <x:c r="C213" s="31" t="str">
        <x:v>Hard</x:v>
      </x:c>
      <x:c r="D213" s="31" t="str"/>
      <x:c r="E213" s="31" t="str">
        <x:v>No</x:v>
      </x:c>
      <x:c r="F213" s="31" t="str"/>
      <x:c r="G213" s="31" t="str"/>
      <x:c r="H213" s="31" t="str"/>
      <x:c r="I213" s="31" t="str"/>
      <x:c r="J213" s="31" t="str">
        <x:v>No</x:v>
      </x:c>
    </x:row>
    <x:row r="214">
      <x:c r="A214" s="31" t="str"/>
      <x:c r="B214" s="31" t="str">
        <x:v>DFS</x:v>
      </x:c>
      <x:c r="C214" s="31" t="str">
        <x:v>Easy</x:v>
      </x:c>
      <x:c r="D214" s="31" t="str"/>
      <x:c r="E214" s="31" t="str">
        <x:v>No</x:v>
      </x:c>
      <x:c r="F214" s="31" t="str"/>
      <x:c r="G214" s="31" t="str"/>
      <x:c r="H214" s="31" t="str"/>
      <x:c r="I214" s="31" t="str"/>
      <x:c r="J214" s="31" t="str">
        <x:v>No</x:v>
      </x:c>
    </x:row>
    <x:row r="215">
      <x:c r="A215" s="31" t="str"/>
      <x:c r="B215" s="31" t="str">
        <x:v>Backtracking</x:v>
      </x:c>
      <x:c r="C215" s="31" t="str">
        <x:v>Medium</x:v>
      </x:c>
      <x:c r="D215" s="31" t="str"/>
      <x:c r="E215" s="31" t="str">
        <x:v>No</x:v>
      </x:c>
      <x:c r="F215" s="31" t="str"/>
      <x:c r="G215" s="31" t="str"/>
      <x:c r="H215" s="31" t="str"/>
      <x:c r="I215" s="31" t="str"/>
      <x:c r="J215" s="31" t="str">
        <x:v>No</x:v>
      </x:c>
    </x:row>
    <x:row r="216">
      <x:c r="A216" s="31" t="str"/>
      <x:c r="B216" s="31" t="str">
        <x:v>Heap</x:v>
      </x:c>
      <x:c r="C216" s="31" t="str">
        <x:v>Hard</x:v>
      </x:c>
      <x:c r="D216" s="31" t="str"/>
      <x:c r="E216" s="31" t="str">
        <x:v>No</x:v>
      </x:c>
      <x:c r="F216" s="31" t="str"/>
      <x:c r="G216" s="31" t="str"/>
      <x:c r="H216" s="31" t="str"/>
      <x:c r="I216" s="31" t="str"/>
      <x:c r="J216" s="31" t="str">
        <x:v>No</x:v>
      </x:c>
    </x:row>
    <x:row r="217">
      <x:c r="A217" s="31" t="str"/>
      <x:c r="B217" s="31" t="str">
        <x:v>Graphs</x:v>
      </x:c>
      <x:c r="C217" s="31" t="str">
        <x:v>Easy</x:v>
      </x:c>
      <x:c r="D217" s="31" t="str"/>
      <x:c r="E217" s="31" t="str">
        <x:v>No</x:v>
      </x:c>
      <x:c r="F217" s="31" t="str"/>
      <x:c r="G217" s="31" t="str"/>
      <x:c r="H217" s="31" t="str"/>
      <x:c r="I217" s="31" t="str"/>
      <x:c r="J217" s="31" t="str">
        <x:v>No</x:v>
      </x:c>
    </x:row>
    <x:row r="218">
      <x:c r="A218" s="31" t="str"/>
      <x:c r="B218" s="31" t="str">
        <x:v>Topological Sort</x:v>
      </x:c>
      <x:c r="C218" s="31" t="str">
        <x:v>Medium</x:v>
      </x:c>
      <x:c r="D218" s="31" t="str"/>
      <x:c r="E218" s="31" t="str">
        <x:v>No</x:v>
      </x:c>
      <x:c r="F218" s="31" t="str"/>
      <x:c r="G218" s="31" t="str"/>
      <x:c r="H218" s="31" t="str"/>
      <x:c r="I218" s="31" t="str"/>
      <x:c r="J218" s="31" t="str">
        <x:v>No</x:v>
      </x:c>
    </x:row>
    <x:row r="219">
      <x:c r="A219" s="31" t="str"/>
      <x:c r="B219" s="31" t="str">
        <x:v>Union-Find</x:v>
      </x:c>
      <x:c r="C219" s="31" t="str">
        <x:v>Hard</x:v>
      </x:c>
      <x:c r="D219" s="31" t="str"/>
      <x:c r="E219" s="31" t="str">
        <x:v>No</x:v>
      </x:c>
      <x:c r="F219" s="31" t="str"/>
      <x:c r="G219" s="31" t="str"/>
      <x:c r="H219" s="31" t="str"/>
      <x:c r="I219" s="31" t="str"/>
      <x:c r="J219" s="31" t="str">
        <x:v>No</x:v>
      </x:c>
    </x:row>
    <x:row r="220">
      <x:c r="A220" s="31" t="str"/>
      <x:c r="B220" s="31" t="str">
        <x:v>Trie</x:v>
      </x:c>
      <x:c r="C220" s="31" t="str">
        <x:v>Easy</x:v>
      </x:c>
      <x:c r="D220" s="31" t="str"/>
      <x:c r="E220" s="31" t="str">
        <x:v>No</x:v>
      </x:c>
      <x:c r="F220" s="31" t="str"/>
      <x:c r="G220" s="31" t="str"/>
      <x:c r="H220" s="31" t="str"/>
      <x:c r="I220" s="31" t="str"/>
      <x:c r="J220" s="31" t="str">
        <x:v>No</x:v>
      </x:c>
    </x:row>
    <x:row r="221">
      <x:c r="A221" s="31" t="str"/>
      <x:c r="B221" s="31" t="str">
        <x:v>Greedy</x:v>
      </x:c>
      <x:c r="C221" s="31" t="str">
        <x:v>Medium</x:v>
      </x:c>
      <x:c r="D221" s="31" t="str"/>
      <x:c r="E221" s="31" t="str">
        <x:v>No</x:v>
      </x:c>
      <x:c r="F221" s="31" t="str"/>
      <x:c r="G221" s="31" t="str"/>
      <x:c r="H221" s="31" t="str"/>
      <x:c r="I221" s="31" t="str"/>
      <x:c r="J221" s="31" t="str">
        <x:v>No</x:v>
      </x:c>
    </x:row>
    <x:row r="222">
      <x:c r="A222" s="31" t="str"/>
      <x:c r="B222" s="31" t="str">
        <x:v>Intervals</x:v>
      </x:c>
      <x:c r="C222" s="31" t="str">
        <x:v>Hard</x:v>
      </x:c>
      <x:c r="D222" s="31" t="str"/>
      <x:c r="E222" s="31" t="str">
        <x:v>No</x:v>
      </x:c>
      <x:c r="F222" s="31" t="str"/>
      <x:c r="G222" s="31" t="str"/>
      <x:c r="H222" s="31" t="str"/>
      <x:c r="I222" s="31" t="str"/>
      <x:c r="J222" s="31" t="str">
        <x:v>No</x:v>
      </x:c>
    </x:row>
    <x:row r="223">
      <x:c r="A223" s="31" t="str"/>
      <x:c r="B223" s="31" t="str">
        <x:v>Dynamic Programming</x:v>
      </x:c>
      <x:c r="C223" s="31" t="str">
        <x:v>Easy</x:v>
      </x:c>
      <x:c r="D223" s="31" t="str"/>
      <x:c r="E223" s="31" t="str">
        <x:v>No</x:v>
      </x:c>
      <x:c r="F223" s="31" t="str"/>
      <x:c r="G223" s="31" t="str"/>
      <x:c r="H223" s="31" t="str"/>
      <x:c r="I223" s="31" t="str"/>
      <x:c r="J223" s="31" t="str">
        <x:v>No</x:v>
      </x:c>
    </x:row>
    <x:row r="224">
      <x:c r="A224" s="31" t="str"/>
      <x:c r="B224" s="31" t="str">
        <x:v>Arrays</x:v>
      </x:c>
      <x:c r="C224" s="31" t="str">
        <x:v>Medium</x:v>
      </x:c>
      <x:c r="D224" s="31" t="str"/>
      <x:c r="E224" s="31" t="str">
        <x:v>No</x:v>
      </x:c>
      <x:c r="F224" s="31" t="str"/>
      <x:c r="G224" s="31" t="str"/>
      <x:c r="H224" s="31" t="str"/>
      <x:c r="I224" s="31" t="str"/>
      <x:c r="J224" s="31" t="str">
        <x:v>No</x:v>
      </x:c>
    </x:row>
    <x:row r="225">
      <x:c r="A225" s="31" t="str"/>
      <x:c r="B225" s="31" t="str">
        <x:v>Hashing</x:v>
      </x:c>
      <x:c r="C225" s="31" t="str">
        <x:v>Hard</x:v>
      </x:c>
      <x:c r="D225" s="31" t="str"/>
      <x:c r="E225" s="31" t="str">
        <x:v>No</x:v>
      </x:c>
      <x:c r="F225" s="31" t="str"/>
      <x:c r="G225" s="31" t="str"/>
      <x:c r="H225" s="31" t="str"/>
      <x:c r="I225" s="31" t="str"/>
      <x:c r="J225" s="31" t="str">
        <x:v>No</x:v>
      </x:c>
    </x:row>
    <x:row r="226">
      <x:c r="A226" s="31" t="str"/>
      <x:c r="B226" s="31" t="str">
        <x:v>Two Pointers</x:v>
      </x:c>
      <x:c r="C226" s="31" t="str">
        <x:v>Easy</x:v>
      </x:c>
      <x:c r="D226" s="31" t="str"/>
      <x:c r="E226" s="31" t="str">
        <x:v>No</x:v>
      </x:c>
      <x:c r="F226" s="31" t="str"/>
      <x:c r="G226" s="31" t="str"/>
      <x:c r="H226" s="31" t="str"/>
      <x:c r="I226" s="31" t="str"/>
      <x:c r="J226" s="31" t="str">
        <x:v>No</x:v>
      </x:c>
    </x:row>
    <x:row r="227">
      <x:c r="A227" s="31" t="str"/>
      <x:c r="B227" s="31" t="str">
        <x:v>Sliding Window</x:v>
      </x:c>
      <x:c r="C227" s="31" t="str">
        <x:v>Medium</x:v>
      </x:c>
      <x:c r="D227" s="31" t="str"/>
      <x:c r="E227" s="31" t="str">
        <x:v>No</x:v>
      </x:c>
      <x:c r="F227" s="31" t="str"/>
      <x:c r="G227" s="31" t="str"/>
      <x:c r="H227" s="31" t="str"/>
      <x:c r="I227" s="31" t="str"/>
      <x:c r="J227" s="31" t="str">
        <x:v>No</x:v>
      </x:c>
    </x:row>
    <x:row r="228">
      <x:c r="A228" s="31" t="str"/>
      <x:c r="B228" s="31" t="str">
        <x:v>Binary Search</x:v>
      </x:c>
      <x:c r="C228" s="31" t="str">
        <x:v>Hard</x:v>
      </x:c>
      <x:c r="D228" s="31" t="str"/>
      <x:c r="E228" s="31" t="str">
        <x:v>No</x:v>
      </x:c>
      <x:c r="F228" s="31" t="str"/>
      <x:c r="G228" s="31" t="str"/>
      <x:c r="H228" s="31" t="str"/>
      <x:c r="I228" s="31" t="str"/>
      <x:c r="J228" s="31" t="str">
        <x:v>No</x:v>
      </x:c>
    </x:row>
    <x:row r="229">
      <x:c r="A229" s="31" t="str"/>
      <x:c r="B229" s="31" t="str">
        <x:v>Stack</x:v>
      </x:c>
      <x:c r="C229" s="31" t="str">
        <x:v>Easy</x:v>
      </x:c>
      <x:c r="D229" s="31" t="str"/>
      <x:c r="E229" s="31" t="str">
        <x:v>No</x:v>
      </x:c>
      <x:c r="F229" s="31" t="str"/>
      <x:c r="G229" s="31" t="str"/>
      <x:c r="H229" s="31" t="str"/>
      <x:c r="I229" s="31" t="str"/>
      <x:c r="J229" s="31" t="str">
        <x:v>No</x:v>
      </x:c>
    </x:row>
    <x:row r="230">
      <x:c r="A230" s="31" t="str"/>
      <x:c r="B230" s="31" t="str">
        <x:v>Queue</x:v>
      </x:c>
      <x:c r="C230" s="31" t="str">
        <x:v>Medium</x:v>
      </x:c>
      <x:c r="D230" s="31" t="str"/>
      <x:c r="E230" s="31" t="str">
        <x:v>No</x:v>
      </x:c>
      <x:c r="F230" s="31" t="str"/>
      <x:c r="G230" s="31" t="str"/>
      <x:c r="H230" s="31" t="str"/>
      <x:c r="I230" s="31" t="str"/>
      <x:c r="J230" s="31" t="str">
        <x:v>No</x:v>
      </x:c>
    </x:row>
    <x:row r="231">
      <x:c r="A231" s="31" t="str"/>
      <x:c r="B231" s="31" t="str">
        <x:v>Linked List</x:v>
      </x:c>
      <x:c r="C231" s="31" t="str">
        <x:v>Hard</x:v>
      </x:c>
      <x:c r="D231" s="31" t="str"/>
      <x:c r="E231" s="31" t="str">
        <x:v>No</x:v>
      </x:c>
      <x:c r="F231" s="31" t="str"/>
      <x:c r="G231" s="31" t="str"/>
      <x:c r="H231" s="31" t="str"/>
      <x:c r="I231" s="31" t="str"/>
      <x:c r="J231" s="31" t="str">
        <x:v>No</x:v>
      </x:c>
    </x:row>
    <x:row r="232">
      <x:c r="A232" s="31" t="str"/>
      <x:c r="B232" s="31" t="str">
        <x:v>Trees</x:v>
      </x:c>
      <x:c r="C232" s="31" t="str">
        <x:v>Easy</x:v>
      </x:c>
      <x:c r="D232" s="31" t="str"/>
      <x:c r="E232" s="31" t="str">
        <x:v>No</x:v>
      </x:c>
      <x:c r="F232" s="31" t="str"/>
      <x:c r="G232" s="31" t="str"/>
      <x:c r="H232" s="31" t="str"/>
      <x:c r="I232" s="31" t="str"/>
      <x:c r="J232" s="31" t="str">
        <x:v>No</x:v>
      </x:c>
    </x:row>
    <x:row r="233">
      <x:c r="A233" s="31" t="str"/>
      <x:c r="B233" s="31" t="str">
        <x:v>BFS</x:v>
      </x:c>
      <x:c r="C233" s="31" t="str">
        <x:v>Medium</x:v>
      </x:c>
      <x:c r="D233" s="31" t="str"/>
      <x:c r="E233" s="31" t="str">
        <x:v>No</x:v>
      </x:c>
      <x:c r="F233" s="31" t="str"/>
      <x:c r="G233" s="31" t="str"/>
      <x:c r="H233" s="31" t="str"/>
      <x:c r="I233" s="31" t="str"/>
      <x:c r="J233" s="31" t="str">
        <x:v>No</x:v>
      </x:c>
    </x:row>
    <x:row r="234">
      <x:c r="A234" s="31" t="str"/>
      <x:c r="B234" s="31" t="str">
        <x:v>DFS</x:v>
      </x:c>
      <x:c r="C234" s="31" t="str">
        <x:v>Hard</x:v>
      </x:c>
      <x:c r="D234" s="31" t="str"/>
      <x:c r="E234" s="31" t="str">
        <x:v>No</x:v>
      </x:c>
      <x:c r="F234" s="31" t="str"/>
      <x:c r="G234" s="31" t="str"/>
      <x:c r="H234" s="31" t="str"/>
      <x:c r="I234" s="31" t="str"/>
      <x:c r="J234" s="31" t="str">
        <x:v>No</x:v>
      </x:c>
    </x:row>
    <x:row r="235">
      <x:c r="A235" s="31" t="str"/>
      <x:c r="B235" s="31" t="str">
        <x:v>Backtracking</x:v>
      </x:c>
      <x:c r="C235" s="31" t="str">
        <x:v>Easy</x:v>
      </x:c>
      <x:c r="D235" s="31" t="str"/>
      <x:c r="E235" s="31" t="str">
        <x:v>No</x:v>
      </x:c>
      <x:c r="F235" s="31" t="str"/>
      <x:c r="G235" s="31" t="str"/>
      <x:c r="H235" s="31" t="str"/>
      <x:c r="I235" s="31" t="str"/>
      <x:c r="J235" s="31" t="str">
        <x:v>No</x:v>
      </x:c>
    </x:row>
    <x:row r="236">
      <x:c r="A236" s="31" t="str"/>
      <x:c r="B236" s="31" t="str">
        <x:v>Heap</x:v>
      </x:c>
      <x:c r="C236" s="31" t="str">
        <x:v>Medium</x:v>
      </x:c>
      <x:c r="D236" s="31" t="str"/>
      <x:c r="E236" s="31" t="str">
        <x:v>No</x:v>
      </x:c>
      <x:c r="F236" s="31" t="str"/>
      <x:c r="G236" s="31" t="str"/>
      <x:c r="H236" s="31" t="str"/>
      <x:c r="I236" s="31" t="str"/>
      <x:c r="J236" s="31" t="str">
        <x:v>No</x:v>
      </x:c>
    </x:row>
    <x:row r="237">
      <x:c r="A237" s="31" t="str"/>
      <x:c r="B237" s="31" t="str">
        <x:v>Graphs</x:v>
      </x:c>
      <x:c r="C237" s="31" t="str">
        <x:v>Hard</x:v>
      </x:c>
      <x:c r="D237" s="31" t="str"/>
      <x:c r="E237" s="31" t="str">
        <x:v>No</x:v>
      </x:c>
      <x:c r="F237" s="31" t="str"/>
      <x:c r="G237" s="31" t="str"/>
      <x:c r="H237" s="31" t="str"/>
      <x:c r="I237" s="31" t="str"/>
      <x:c r="J237" s="31" t="str">
        <x:v>No</x:v>
      </x:c>
    </x:row>
    <x:row r="238">
      <x:c r="A238" s="31" t="str"/>
      <x:c r="B238" s="31" t="str">
        <x:v>Topological Sort</x:v>
      </x:c>
      <x:c r="C238" s="31" t="str">
        <x:v>Easy</x:v>
      </x:c>
      <x:c r="D238" s="31" t="str"/>
      <x:c r="E238" s="31" t="str">
        <x:v>No</x:v>
      </x:c>
      <x:c r="F238" s="31" t="str"/>
      <x:c r="G238" s="31" t="str"/>
      <x:c r="H238" s="31" t="str"/>
      <x:c r="I238" s="31" t="str"/>
      <x:c r="J238" s="31" t="str">
        <x:v>No</x:v>
      </x:c>
    </x:row>
    <x:row r="239">
      <x:c r="A239" s="31" t="str"/>
      <x:c r="B239" s="31" t="str">
        <x:v>Union-Find</x:v>
      </x:c>
      <x:c r="C239" s="31" t="str">
        <x:v>Medium</x:v>
      </x:c>
      <x:c r="D239" s="31" t="str"/>
      <x:c r="E239" s="31" t="str">
        <x:v>No</x:v>
      </x:c>
      <x:c r="F239" s="31" t="str"/>
      <x:c r="G239" s="31" t="str"/>
      <x:c r="H239" s="31" t="str"/>
      <x:c r="I239" s="31" t="str"/>
      <x:c r="J239" s="31" t="str">
        <x:v>No</x:v>
      </x:c>
    </x:row>
    <x:row r="240">
      <x:c r="A240" s="31" t="str"/>
      <x:c r="B240" s="31" t="str">
        <x:v>Trie</x:v>
      </x:c>
      <x:c r="C240" s="31" t="str">
        <x:v>Hard</x:v>
      </x:c>
      <x:c r="D240" s="31" t="str"/>
      <x:c r="E240" s="31" t="str">
        <x:v>No</x:v>
      </x:c>
      <x:c r="F240" s="31" t="str"/>
      <x:c r="G240" s="31" t="str"/>
      <x:c r="H240" s="31" t="str"/>
      <x:c r="I240" s="31" t="str"/>
      <x:c r="J240" s="31" t="str">
        <x:v>No</x:v>
      </x:c>
    </x:row>
    <x:row r="241">
      <x:c r="A241" s="31" t="str"/>
      <x:c r="B241" s="31" t="str">
        <x:v>Greedy</x:v>
      </x:c>
      <x:c r="C241" s="31" t="str">
        <x:v>Easy</x:v>
      </x:c>
      <x:c r="D241" s="31" t="str"/>
      <x:c r="E241" s="31" t="str">
        <x:v>No</x:v>
      </x:c>
      <x:c r="F241" s="31" t="str"/>
      <x:c r="G241" s="31" t="str"/>
      <x:c r="H241" s="31" t="str"/>
      <x:c r="I241" s="31" t="str"/>
      <x:c r="J241" s="31" t="str">
        <x:v>No</x:v>
      </x:c>
    </x:row>
    <x:row r="242">
      <x:c r="A242" s="31" t="str"/>
      <x:c r="B242" s="31" t="str">
        <x:v>Intervals</x:v>
      </x:c>
      <x:c r="C242" s="31" t="str">
        <x:v>Medium</x:v>
      </x:c>
      <x:c r="D242" s="31" t="str"/>
      <x:c r="E242" s="31" t="str">
        <x:v>No</x:v>
      </x:c>
      <x:c r="F242" s="31" t="str"/>
      <x:c r="G242" s="31" t="str"/>
      <x:c r="H242" s="31" t="str"/>
      <x:c r="I242" s="31" t="str"/>
      <x:c r="J242" s="31" t="str">
        <x:v>No</x:v>
      </x:c>
    </x:row>
    <x:row r="243">
      <x:c r="A243" s="31" t="str"/>
      <x:c r="B243" s="31" t="str">
        <x:v>Dynamic Programming</x:v>
      </x:c>
      <x:c r="C243" s="31" t="str">
        <x:v>Hard</x:v>
      </x:c>
      <x:c r="D243" s="31" t="str"/>
      <x:c r="E243" s="31" t="str">
        <x:v>No</x:v>
      </x:c>
      <x:c r="F243" s="31" t="str"/>
      <x:c r="G243" s="31" t="str"/>
      <x:c r="H243" s="31" t="str"/>
      <x:c r="I243" s="31" t="str"/>
      <x:c r="J243" s="31" t="str">
        <x:v>No</x:v>
      </x:c>
    </x:row>
    <x:row r="244">
      <x:c r="A244" s="31" t="str"/>
      <x:c r="B244" s="31" t="str">
        <x:v>Arrays</x:v>
      </x:c>
      <x:c r="C244" s="31" t="str">
        <x:v>Easy</x:v>
      </x:c>
      <x:c r="D244" s="31" t="str"/>
      <x:c r="E244" s="31" t="str">
        <x:v>No</x:v>
      </x:c>
      <x:c r="F244" s="31" t="str"/>
      <x:c r="G244" s="31" t="str"/>
      <x:c r="H244" s="31" t="str"/>
      <x:c r="I244" s="31" t="str"/>
      <x:c r="J244" s="31" t="str">
        <x:v>No</x:v>
      </x:c>
    </x:row>
    <x:row r="245">
      <x:c r="A245" s="31" t="str"/>
      <x:c r="B245" s="31" t="str">
        <x:v>Hashing</x:v>
      </x:c>
      <x:c r="C245" s="31" t="str">
        <x:v>Medium</x:v>
      </x:c>
      <x:c r="D245" s="31" t="str"/>
      <x:c r="E245" s="31" t="str">
        <x:v>No</x:v>
      </x:c>
      <x:c r="F245" s="31" t="str"/>
      <x:c r="G245" s="31" t="str"/>
      <x:c r="H245" s="31" t="str"/>
      <x:c r="I245" s="31" t="str"/>
      <x:c r="J245" s="31" t="str">
        <x:v>No</x:v>
      </x:c>
    </x:row>
    <x:row r="246">
      <x:c r="A246" s="31" t="str"/>
      <x:c r="B246" s="31" t="str">
        <x:v>Two Pointers</x:v>
      </x:c>
      <x:c r="C246" s="31" t="str">
        <x:v>Hard</x:v>
      </x:c>
      <x:c r="D246" s="31" t="str"/>
      <x:c r="E246" s="31" t="str">
        <x:v>No</x:v>
      </x:c>
      <x:c r="F246" s="31" t="str"/>
      <x:c r="G246" s="31" t="str"/>
      <x:c r="H246" s="31" t="str"/>
      <x:c r="I246" s="31" t="str"/>
      <x:c r="J246" s="31" t="str">
        <x:v>No</x:v>
      </x:c>
    </x:row>
    <x:row r="247">
      <x:c r="A247" s="31" t="str"/>
      <x:c r="B247" s="31" t="str">
        <x:v>Sliding Window</x:v>
      </x:c>
      <x:c r="C247" s="31" t="str">
        <x:v>Easy</x:v>
      </x:c>
      <x:c r="D247" s="31" t="str"/>
      <x:c r="E247" s="31" t="str">
        <x:v>No</x:v>
      </x:c>
      <x:c r="F247" s="31" t="str"/>
      <x:c r="G247" s="31" t="str"/>
      <x:c r="H247" s="31" t="str"/>
      <x:c r="I247" s="31" t="str"/>
      <x:c r="J247" s="31" t="str">
        <x:v>No</x:v>
      </x:c>
    </x:row>
    <x:row r="248">
      <x:c r="A248" s="31" t="str"/>
      <x:c r="B248" s="31" t="str">
        <x:v>Binary Search</x:v>
      </x:c>
      <x:c r="C248" s="31" t="str">
        <x:v>Medium</x:v>
      </x:c>
      <x:c r="D248" s="31" t="str"/>
      <x:c r="E248" s="31" t="str">
        <x:v>No</x:v>
      </x:c>
      <x:c r="F248" s="31" t="str"/>
      <x:c r="G248" s="31" t="str"/>
      <x:c r="H248" s="31" t="str"/>
      <x:c r="I248" s="31" t="str"/>
      <x:c r="J248" s="31" t="str">
        <x:v>No</x:v>
      </x:c>
    </x:row>
    <x:row r="249">
      <x:c r="A249" s="31" t="str"/>
      <x:c r="B249" s="31" t="str">
        <x:v>Stack</x:v>
      </x:c>
      <x:c r="C249" s="31" t="str">
        <x:v>Hard</x:v>
      </x:c>
      <x:c r="D249" s="31" t="str"/>
      <x:c r="E249" s="31" t="str">
        <x:v>No</x:v>
      </x:c>
      <x:c r="F249" s="31" t="str"/>
      <x:c r="G249" s="31" t="str"/>
      <x:c r="H249" s="31" t="str"/>
      <x:c r="I249" s="31" t="str"/>
      <x:c r="J249" s="31" t="str">
        <x:v>No</x:v>
      </x:c>
    </x:row>
    <x:row r="250">
      <x:c r="A250" s="31" t="str"/>
      <x:c r="B250" s="31" t="str">
        <x:v>Queue</x:v>
      </x:c>
      <x:c r="C250" s="31" t="str">
        <x:v>Easy</x:v>
      </x:c>
      <x:c r="D250" s="31" t="str"/>
      <x:c r="E250" s="31" t="str">
        <x:v>No</x:v>
      </x:c>
      <x:c r="F250" s="31" t="str"/>
      <x:c r="G250" s="31" t="str"/>
      <x:c r="H250" s="31" t="str"/>
      <x:c r="I250" s="31" t="str"/>
      <x:c r="J250" s="31" t="str">
        <x:v>No</x:v>
      </x:c>
    </x:row>
    <x:row r="251">
      <x:c r="A251" s="31" t="str"/>
      <x:c r="B251" s="31" t="str">
        <x:v>Linked List</x:v>
      </x:c>
      <x:c r="C251" s="31" t="str">
        <x:v>Medium</x:v>
      </x:c>
      <x:c r="D251" s="31" t="str"/>
      <x:c r="E251" s="31" t="str">
        <x:v>No</x:v>
      </x:c>
      <x:c r="F251" s="31" t="str"/>
      <x:c r="G251" s="31" t="str"/>
      <x:c r="H251" s="31" t="str"/>
      <x:c r="I251" s="31" t="str"/>
      <x:c r="J251" s="31" t="str">
        <x:v>No</x:v>
      </x:c>
    </x:row>
    <x:row r="252">
      <x:c r="A252" s="31" t="str"/>
      <x:c r="B252" s="31" t="str">
        <x:v>Trees</x:v>
      </x:c>
      <x:c r="C252" s="31" t="str">
        <x:v>Hard</x:v>
      </x:c>
      <x:c r="D252" s="31" t="str"/>
      <x:c r="E252" s="31" t="str">
        <x:v>No</x:v>
      </x:c>
      <x:c r="F252" s="31" t="str"/>
      <x:c r="G252" s="31" t="str"/>
      <x:c r="H252" s="31" t="str"/>
      <x:c r="I252" s="31" t="str"/>
      <x:c r="J252" s="31" t="str">
        <x:v>No</x:v>
      </x:c>
    </x:row>
    <x:row r="253">
      <x:c r="A253" s="31" t="str"/>
      <x:c r="B253" s="31" t="str">
        <x:v>BFS</x:v>
      </x:c>
      <x:c r="C253" s="31" t="str">
        <x:v>Easy</x:v>
      </x:c>
      <x:c r="D253" s="31" t="str"/>
      <x:c r="E253" s="31" t="str">
        <x:v>No</x:v>
      </x:c>
      <x:c r="F253" s="31" t="str"/>
      <x:c r="G253" s="31" t="str"/>
      <x:c r="H253" s="31" t="str"/>
      <x:c r="I253" s="31" t="str"/>
      <x:c r="J253" s="31" t="str">
        <x:v>No</x:v>
      </x:c>
    </x:row>
    <x:row r="254">
      <x:c r="A254" s="31" t="str"/>
      <x:c r="B254" s="31" t="str">
        <x:v>DFS</x:v>
      </x:c>
      <x:c r="C254" s="31" t="str">
        <x:v>Medium</x:v>
      </x:c>
      <x:c r="D254" s="31" t="str"/>
      <x:c r="E254" s="31" t="str">
        <x:v>No</x:v>
      </x:c>
      <x:c r="F254" s="31" t="str"/>
      <x:c r="G254" s="31" t="str"/>
      <x:c r="H254" s="31" t="str"/>
      <x:c r="I254" s="31" t="str"/>
      <x:c r="J254" s="31" t="str">
        <x:v>No</x:v>
      </x:c>
    </x:row>
    <x:row r="255">
      <x:c r="A255" s="31" t="str"/>
      <x:c r="B255" s="31" t="str">
        <x:v>Backtracking</x:v>
      </x:c>
      <x:c r="C255" s="31" t="str">
        <x:v>Hard</x:v>
      </x:c>
      <x:c r="D255" s="31" t="str"/>
      <x:c r="E255" s="31" t="str">
        <x:v>No</x:v>
      </x:c>
      <x:c r="F255" s="31" t="str"/>
      <x:c r="G255" s="31" t="str"/>
      <x:c r="H255" s="31" t="str"/>
      <x:c r="I255" s="31" t="str"/>
      <x:c r="J255" s="31" t="str">
        <x:v>No</x:v>
      </x:c>
    </x:row>
    <x:row r="256">
      <x:c r="A256" s="31" t="str"/>
      <x:c r="B256" s="31" t="str">
        <x:v>Heap</x:v>
      </x:c>
      <x:c r="C256" s="31" t="str">
        <x:v>Easy</x:v>
      </x:c>
      <x:c r="D256" s="31" t="str"/>
      <x:c r="E256" s="31" t="str">
        <x:v>No</x:v>
      </x:c>
      <x:c r="F256" s="31" t="str"/>
      <x:c r="G256" s="31" t="str"/>
      <x:c r="H256" s="31" t="str"/>
      <x:c r="I256" s="31" t="str"/>
      <x:c r="J256" s="31" t="str">
        <x:v>No</x:v>
      </x:c>
    </x:row>
    <x:row r="257">
      <x:c r="A257" s="31" t="str"/>
      <x:c r="B257" s="31" t="str">
        <x:v>Graphs</x:v>
      </x:c>
      <x:c r="C257" s="31" t="str">
        <x:v>Medium</x:v>
      </x:c>
      <x:c r="D257" s="31" t="str"/>
      <x:c r="E257" s="31" t="str">
        <x:v>No</x:v>
      </x:c>
      <x:c r="F257" s="31" t="str"/>
      <x:c r="G257" s="31" t="str"/>
      <x:c r="H257" s="31" t="str"/>
      <x:c r="I257" s="31" t="str"/>
      <x:c r="J257" s="31" t="str">
        <x:v>No</x:v>
      </x:c>
    </x:row>
    <x:row r="258">
      <x:c r="A258" s="31" t="str"/>
      <x:c r="B258" s="31" t="str">
        <x:v>Topological Sort</x:v>
      </x:c>
      <x:c r="C258" s="31" t="str">
        <x:v>Hard</x:v>
      </x:c>
      <x:c r="D258" s="31" t="str"/>
      <x:c r="E258" s="31" t="str">
        <x:v>No</x:v>
      </x:c>
      <x:c r="F258" s="31" t="str"/>
      <x:c r="G258" s="31" t="str"/>
      <x:c r="H258" s="31" t="str"/>
      <x:c r="I258" s="31" t="str"/>
      <x:c r="J258" s="31" t="str">
        <x:v>No</x:v>
      </x:c>
    </x:row>
    <x:row r="259">
      <x:c r="A259" s="31" t="str"/>
      <x:c r="B259" s="31" t="str">
        <x:v>Union-Find</x:v>
      </x:c>
      <x:c r="C259" s="31" t="str">
        <x:v>Easy</x:v>
      </x:c>
      <x:c r="D259" s="31" t="str"/>
      <x:c r="E259" s="31" t="str">
        <x:v>No</x:v>
      </x:c>
      <x:c r="F259" s="31" t="str"/>
      <x:c r="G259" s="31" t="str"/>
      <x:c r="H259" s="31" t="str"/>
      <x:c r="I259" s="31" t="str"/>
      <x:c r="J259" s="31" t="str">
        <x:v>No</x:v>
      </x:c>
    </x:row>
    <x:row r="260">
      <x:c r="A260" s="31" t="str"/>
      <x:c r="B260" s="31" t="str">
        <x:v>Trie</x:v>
      </x:c>
      <x:c r="C260" s="31" t="str">
        <x:v>Medium</x:v>
      </x:c>
      <x:c r="D260" s="31" t="str"/>
      <x:c r="E260" s="31" t="str">
        <x:v>No</x:v>
      </x:c>
      <x:c r="F260" s="31" t="str"/>
      <x:c r="G260" s="31" t="str"/>
      <x:c r="H260" s="31" t="str"/>
      <x:c r="I260" s="31" t="str"/>
      <x:c r="J260" s="31" t="str">
        <x:v>No</x:v>
      </x:c>
    </x:row>
    <x:row r="261">
      <x:c r="A261" s="31" t="str"/>
      <x:c r="B261" s="31" t="str">
        <x:v>Greedy</x:v>
      </x:c>
      <x:c r="C261" s="31" t="str">
        <x:v>Hard</x:v>
      </x:c>
      <x:c r="D261" s="31" t="str"/>
      <x:c r="E261" s="31" t="str">
        <x:v>No</x:v>
      </x:c>
      <x:c r="F261" s="31" t="str"/>
      <x:c r="G261" s="31" t="str"/>
      <x:c r="H261" s="31" t="str"/>
      <x:c r="I261" s="31" t="str"/>
      <x:c r="J261" s="31" t="str">
        <x:v>No</x:v>
      </x:c>
    </x:row>
    <x:row r="262">
      <x:c r="A262" s="31" t="str"/>
      <x:c r="B262" s="31" t="str">
        <x:v>Intervals</x:v>
      </x:c>
      <x:c r="C262" s="31" t="str">
        <x:v>Easy</x:v>
      </x:c>
      <x:c r="D262" s="31" t="str"/>
      <x:c r="E262" s="31" t="str">
        <x:v>No</x:v>
      </x:c>
      <x:c r="F262" s="31" t="str"/>
      <x:c r="G262" s="31" t="str"/>
      <x:c r="H262" s="31" t="str"/>
      <x:c r="I262" s="31" t="str"/>
      <x:c r="J262" s="31" t="str">
        <x:v>No</x:v>
      </x:c>
    </x:row>
    <x:row r="263">
      <x:c r="A263" s="31" t="str"/>
      <x:c r="B263" s="31" t="str">
        <x:v>Dynamic Programming</x:v>
      </x:c>
      <x:c r="C263" s="31" t="str">
        <x:v>Medium</x:v>
      </x:c>
      <x:c r="D263" s="31" t="str"/>
      <x:c r="E263" s="31" t="str">
        <x:v>No</x:v>
      </x:c>
      <x:c r="F263" s="31" t="str"/>
      <x:c r="G263" s="31" t="str"/>
      <x:c r="H263" s="31" t="str"/>
      <x:c r="I263" s="31" t="str"/>
      <x:c r="J263" s="31" t="str">
        <x:v>No</x:v>
      </x:c>
    </x:row>
    <x:row r="264">
      <x:c r="A264" s="31" t="str"/>
      <x:c r="B264" s="31" t="str">
        <x:v>Arrays</x:v>
      </x:c>
      <x:c r="C264" s="31" t="str">
        <x:v>Hard</x:v>
      </x:c>
      <x:c r="D264" s="31" t="str"/>
      <x:c r="E264" s="31" t="str">
        <x:v>No</x:v>
      </x:c>
      <x:c r="F264" s="31" t="str"/>
      <x:c r="G264" s="31" t="str"/>
      <x:c r="H264" s="31" t="str"/>
      <x:c r="I264" s="31" t="str"/>
      <x:c r="J264" s="31" t="str">
        <x:v>No</x:v>
      </x:c>
    </x:row>
    <x:row r="265">
      <x:c r="A265" s="31" t="str"/>
      <x:c r="B265" s="31" t="str">
        <x:v>Hashing</x:v>
      </x:c>
      <x:c r="C265" s="31" t="str">
        <x:v>Easy</x:v>
      </x:c>
      <x:c r="D265" s="31" t="str"/>
      <x:c r="E265" s="31" t="str">
        <x:v>No</x:v>
      </x:c>
      <x:c r="F265" s="31" t="str"/>
      <x:c r="G265" s="31" t="str"/>
      <x:c r="H265" s="31" t="str"/>
      <x:c r="I265" s="31" t="str"/>
      <x:c r="J265" s="31" t="str">
        <x:v>No</x:v>
      </x:c>
    </x:row>
    <x:row r="266">
      <x:c r="A266" s="31" t="str"/>
      <x:c r="B266" s="31" t="str">
        <x:v>Two Pointers</x:v>
      </x:c>
      <x:c r="C266" s="31" t="str">
        <x:v>Medium</x:v>
      </x:c>
      <x:c r="D266" s="31" t="str"/>
      <x:c r="E266" s="31" t="str">
        <x:v>No</x:v>
      </x:c>
      <x:c r="F266" s="31" t="str"/>
      <x:c r="G266" s="31" t="str"/>
      <x:c r="H266" s="31" t="str"/>
      <x:c r="I266" s="31" t="str"/>
      <x:c r="J266" s="31" t="str">
        <x:v>No</x:v>
      </x:c>
    </x:row>
    <x:row r="267">
      <x:c r="A267" s="31" t="str"/>
      <x:c r="B267" s="31" t="str">
        <x:v>Sliding Window</x:v>
      </x:c>
      <x:c r="C267" s="31" t="str">
        <x:v>Hard</x:v>
      </x:c>
      <x:c r="D267" s="31" t="str"/>
      <x:c r="E267" s="31" t="str">
        <x:v>No</x:v>
      </x:c>
      <x:c r="F267" s="31" t="str"/>
      <x:c r="G267" s="31" t="str"/>
      <x:c r="H267" s="31" t="str"/>
      <x:c r="I267" s="31" t="str"/>
      <x:c r="J267" s="31" t="str">
        <x:v>No</x:v>
      </x:c>
    </x:row>
    <x:row r="268">
      <x:c r="A268" s="31" t="str"/>
      <x:c r="B268" s="31" t="str">
        <x:v>Binary Search</x:v>
      </x:c>
      <x:c r="C268" s="31" t="str">
        <x:v>Easy</x:v>
      </x:c>
      <x:c r="D268" s="31" t="str"/>
      <x:c r="E268" s="31" t="str">
        <x:v>No</x:v>
      </x:c>
      <x:c r="F268" s="31" t="str"/>
      <x:c r="G268" s="31" t="str"/>
      <x:c r="H268" s="31" t="str"/>
      <x:c r="I268" s="31" t="str"/>
      <x:c r="J268" s="31" t="str">
        <x:v>No</x:v>
      </x:c>
    </x:row>
    <x:row r="269">
      <x:c r="A269" s="31" t="str"/>
      <x:c r="B269" s="31" t="str">
        <x:v>Stack</x:v>
      </x:c>
      <x:c r="C269" s="31" t="str">
        <x:v>Medium</x:v>
      </x:c>
      <x:c r="D269" s="31" t="str"/>
      <x:c r="E269" s="31" t="str">
        <x:v>No</x:v>
      </x:c>
      <x:c r="F269" s="31" t="str"/>
      <x:c r="G269" s="31" t="str"/>
      <x:c r="H269" s="31" t="str"/>
      <x:c r="I269" s="31" t="str"/>
      <x:c r="J269" s="31" t="str">
        <x:v>No</x:v>
      </x:c>
    </x:row>
    <x:row r="270">
      <x:c r="A270" s="31" t="str"/>
      <x:c r="B270" s="31" t="str">
        <x:v>Queue</x:v>
      </x:c>
      <x:c r="C270" s="31" t="str">
        <x:v>Hard</x:v>
      </x:c>
      <x:c r="D270" s="31" t="str"/>
      <x:c r="E270" s="31" t="str">
        <x:v>No</x:v>
      </x:c>
      <x:c r="F270" s="31" t="str"/>
      <x:c r="G270" s="31" t="str"/>
      <x:c r="H270" s="31" t="str"/>
      <x:c r="I270" s="31" t="str"/>
      <x:c r="J270" s="31" t="str">
        <x:v>No</x:v>
      </x:c>
    </x:row>
    <x:row r="271">
      <x:c r="A271" s="31" t="str"/>
      <x:c r="B271" s="31" t="str">
        <x:v>Linked List</x:v>
      </x:c>
      <x:c r="C271" s="31" t="str">
        <x:v>Easy</x:v>
      </x:c>
      <x:c r="D271" s="31" t="str"/>
      <x:c r="E271" s="31" t="str">
        <x:v>No</x:v>
      </x:c>
      <x:c r="F271" s="31" t="str"/>
      <x:c r="G271" s="31" t="str"/>
      <x:c r="H271" s="31" t="str"/>
      <x:c r="I271" s="31" t="str"/>
      <x:c r="J271" s="31" t="str">
        <x:v>No</x:v>
      </x:c>
    </x:row>
    <x:row r="272">
      <x:c r="A272" s="31" t="str"/>
      <x:c r="B272" s="31" t="str">
        <x:v>Trees</x:v>
      </x:c>
      <x:c r="C272" s="31" t="str">
        <x:v>Medium</x:v>
      </x:c>
      <x:c r="D272" s="31" t="str"/>
      <x:c r="E272" s="31" t="str">
        <x:v>No</x:v>
      </x:c>
      <x:c r="F272" s="31" t="str"/>
      <x:c r="G272" s="31" t="str"/>
      <x:c r="H272" s="31" t="str"/>
      <x:c r="I272" s="31" t="str"/>
      <x:c r="J272" s="31" t="str">
        <x:v>No</x:v>
      </x:c>
    </x:row>
    <x:row r="273">
      <x:c r="A273" s="31" t="str"/>
      <x:c r="B273" s="31" t="str">
        <x:v>BFS</x:v>
      </x:c>
      <x:c r="C273" s="31" t="str">
        <x:v>Hard</x:v>
      </x:c>
      <x:c r="D273" s="31" t="str"/>
      <x:c r="E273" s="31" t="str">
        <x:v>No</x:v>
      </x:c>
      <x:c r="F273" s="31" t="str"/>
      <x:c r="G273" s="31" t="str"/>
      <x:c r="H273" s="31" t="str"/>
      <x:c r="I273" s="31" t="str"/>
      <x:c r="J273" s="31" t="str">
        <x:v>No</x:v>
      </x:c>
    </x:row>
    <x:row r="274">
      <x:c r="A274" s="31" t="str"/>
      <x:c r="B274" s="31" t="str">
        <x:v>DFS</x:v>
      </x:c>
      <x:c r="C274" s="31" t="str">
        <x:v>Easy</x:v>
      </x:c>
      <x:c r="D274" s="31" t="str"/>
      <x:c r="E274" s="31" t="str">
        <x:v>No</x:v>
      </x:c>
      <x:c r="F274" s="31" t="str"/>
      <x:c r="G274" s="31" t="str"/>
      <x:c r="H274" s="31" t="str"/>
      <x:c r="I274" s="31" t="str"/>
      <x:c r="J274" s="31" t="str">
        <x:v>No</x:v>
      </x:c>
    </x:row>
    <x:row r="275">
      <x:c r="A275" s="31" t="str"/>
      <x:c r="B275" s="31" t="str">
        <x:v>Backtracking</x:v>
      </x:c>
      <x:c r="C275" s="31" t="str">
        <x:v>Medium</x:v>
      </x:c>
      <x:c r="D275" s="31" t="str"/>
      <x:c r="E275" s="31" t="str">
        <x:v>No</x:v>
      </x:c>
      <x:c r="F275" s="31" t="str"/>
      <x:c r="G275" s="31" t="str"/>
      <x:c r="H275" s="31" t="str"/>
      <x:c r="I275" s="31" t="str"/>
      <x:c r="J275" s="31" t="str">
        <x:v>No</x:v>
      </x:c>
    </x:row>
    <x:row r="276">
      <x:c r="A276" s="31" t="str"/>
      <x:c r="B276" s="31" t="str">
        <x:v>Heap</x:v>
      </x:c>
      <x:c r="C276" s="31" t="str">
        <x:v>Hard</x:v>
      </x:c>
      <x:c r="D276" s="31" t="str"/>
      <x:c r="E276" s="31" t="str">
        <x:v>No</x:v>
      </x:c>
      <x:c r="F276" s="31" t="str"/>
      <x:c r="G276" s="31" t="str"/>
      <x:c r="H276" s="31" t="str"/>
      <x:c r="I276" s="31" t="str"/>
      <x:c r="J276" s="31" t="str">
        <x:v>No</x:v>
      </x:c>
    </x:row>
    <x:row r="277">
      <x:c r="A277" s="31" t="str"/>
      <x:c r="B277" s="31" t="str">
        <x:v>Graphs</x:v>
      </x:c>
      <x:c r="C277" s="31" t="str">
        <x:v>Easy</x:v>
      </x:c>
      <x:c r="D277" s="31" t="str"/>
      <x:c r="E277" s="31" t="str">
        <x:v>No</x:v>
      </x:c>
      <x:c r="F277" s="31" t="str"/>
      <x:c r="G277" s="31" t="str"/>
      <x:c r="H277" s="31" t="str"/>
      <x:c r="I277" s="31" t="str"/>
      <x:c r="J277" s="31" t="str">
        <x:v>No</x:v>
      </x:c>
    </x:row>
    <x:row r="278">
      <x:c r="A278" s="31" t="str"/>
      <x:c r="B278" s="31" t="str">
        <x:v>Topological Sort</x:v>
      </x:c>
      <x:c r="C278" s="31" t="str">
        <x:v>Medium</x:v>
      </x:c>
      <x:c r="D278" s="31" t="str"/>
      <x:c r="E278" s="31" t="str">
        <x:v>No</x:v>
      </x:c>
      <x:c r="F278" s="31" t="str"/>
      <x:c r="G278" s="31" t="str"/>
      <x:c r="H278" s="31" t="str"/>
      <x:c r="I278" s="31" t="str"/>
      <x:c r="J278" s="31" t="str">
        <x:v>No</x:v>
      </x:c>
    </x:row>
    <x:row r="279">
      <x:c r="A279" s="31" t="str"/>
      <x:c r="B279" s="31" t="str">
        <x:v>Union-Find</x:v>
      </x:c>
      <x:c r="C279" s="31" t="str">
        <x:v>Hard</x:v>
      </x:c>
      <x:c r="D279" s="31" t="str"/>
      <x:c r="E279" s="31" t="str">
        <x:v>No</x:v>
      </x:c>
      <x:c r="F279" s="31" t="str"/>
      <x:c r="G279" s="31" t="str"/>
      <x:c r="H279" s="31" t="str"/>
      <x:c r="I279" s="31" t="str"/>
      <x:c r="J279" s="31" t="str">
        <x:v>No</x:v>
      </x:c>
    </x:row>
    <x:row r="280">
      <x:c r="A280" s="31" t="str"/>
      <x:c r="B280" s="31" t="str">
        <x:v>Trie</x:v>
      </x:c>
      <x:c r="C280" s="31" t="str">
        <x:v>Easy</x:v>
      </x:c>
      <x:c r="D280" s="31" t="str"/>
      <x:c r="E280" s="31" t="str">
        <x:v>No</x:v>
      </x:c>
      <x:c r="F280" s="31" t="str"/>
      <x:c r="G280" s="31" t="str"/>
      <x:c r="H280" s="31" t="str"/>
      <x:c r="I280" s="31" t="str"/>
      <x:c r="J280" s="31" t="str">
        <x:v>No</x:v>
      </x:c>
    </x:row>
    <x:row r="281">
      <x:c r="A281" s="31" t="str"/>
      <x:c r="B281" s="31" t="str">
        <x:v>Greedy</x:v>
      </x:c>
      <x:c r="C281" s="31" t="str">
        <x:v>Medium</x:v>
      </x:c>
      <x:c r="D281" s="31" t="str"/>
      <x:c r="E281" s="31" t="str">
        <x:v>No</x:v>
      </x:c>
      <x:c r="F281" s="31" t="str"/>
      <x:c r="G281" s="31" t="str"/>
      <x:c r="H281" s="31" t="str"/>
      <x:c r="I281" s="31" t="str"/>
      <x:c r="J281" s="31" t="str">
        <x:v>No</x:v>
      </x:c>
    </x:row>
    <x:row r="282">
      <x:c r="A282" s="31" t="str"/>
      <x:c r="B282" s="31" t="str">
        <x:v>Intervals</x:v>
      </x:c>
      <x:c r="C282" s="31" t="str">
        <x:v>Hard</x:v>
      </x:c>
      <x:c r="D282" s="31" t="str"/>
      <x:c r="E282" s="31" t="str">
        <x:v>No</x:v>
      </x:c>
      <x:c r="F282" s="31" t="str"/>
      <x:c r="G282" s="31" t="str"/>
      <x:c r="H282" s="31" t="str"/>
      <x:c r="I282" s="31" t="str"/>
      <x:c r="J282" s="31" t="str">
        <x:v>No</x:v>
      </x:c>
    </x:row>
    <x:row r="283">
      <x:c r="A283" s="31" t="str"/>
      <x:c r="B283" s="31" t="str">
        <x:v>Dynamic Programming</x:v>
      </x:c>
      <x:c r="C283" s="31" t="str">
        <x:v>Easy</x:v>
      </x:c>
      <x:c r="D283" s="31" t="str"/>
      <x:c r="E283" s="31" t="str">
        <x:v>No</x:v>
      </x:c>
      <x:c r="F283" s="31" t="str"/>
      <x:c r="G283" s="31" t="str"/>
      <x:c r="H283" s="31" t="str"/>
      <x:c r="I283" s="31" t="str"/>
      <x:c r="J283" s="31" t="str">
        <x:v>No</x:v>
      </x:c>
    </x:row>
    <x:row r="284">
      <x:c r="A284" s="31" t="str"/>
      <x:c r="B284" s="31" t="str">
        <x:v>Arrays</x:v>
      </x:c>
      <x:c r="C284" s="31" t="str">
        <x:v>Medium</x:v>
      </x:c>
      <x:c r="D284" s="31" t="str"/>
      <x:c r="E284" s="31" t="str">
        <x:v>No</x:v>
      </x:c>
      <x:c r="F284" s="31" t="str"/>
      <x:c r="G284" s="31" t="str"/>
      <x:c r="H284" s="31" t="str"/>
      <x:c r="I284" s="31" t="str"/>
      <x:c r="J284" s="31" t="str">
        <x:v>No</x:v>
      </x:c>
    </x:row>
    <x:row r="285">
      <x:c r="A285" s="31" t="str"/>
      <x:c r="B285" s="31" t="str">
        <x:v>Hashing</x:v>
      </x:c>
      <x:c r="C285" s="31" t="str">
        <x:v>Hard</x:v>
      </x:c>
      <x:c r="D285" s="31" t="str"/>
      <x:c r="E285" s="31" t="str">
        <x:v>No</x:v>
      </x:c>
      <x:c r="F285" s="31" t="str"/>
      <x:c r="G285" s="31" t="str"/>
      <x:c r="H285" s="31" t="str"/>
      <x:c r="I285" s="31" t="str"/>
      <x:c r="J285" s="31" t="str">
        <x:v>No</x:v>
      </x:c>
    </x:row>
    <x:row r="286">
      <x:c r="A286" s="31" t="str"/>
      <x:c r="B286" s="31" t="str">
        <x:v>Two Pointers</x:v>
      </x:c>
      <x:c r="C286" s="31" t="str">
        <x:v>Easy</x:v>
      </x:c>
      <x:c r="D286" s="31" t="str"/>
      <x:c r="E286" s="31" t="str">
        <x:v>No</x:v>
      </x:c>
      <x:c r="F286" s="31" t="str"/>
      <x:c r="G286" s="31" t="str"/>
      <x:c r="H286" s="31" t="str"/>
      <x:c r="I286" s="31" t="str"/>
      <x:c r="J286" s="31" t="str">
        <x:v>No</x:v>
      </x:c>
    </x:row>
    <x:row r="287">
      <x:c r="A287" s="31" t="str"/>
      <x:c r="B287" s="31" t="str">
        <x:v>Sliding Window</x:v>
      </x:c>
      <x:c r="C287" s="31" t="str">
        <x:v>Medium</x:v>
      </x:c>
      <x:c r="D287" s="31" t="str"/>
      <x:c r="E287" s="31" t="str">
        <x:v>No</x:v>
      </x:c>
      <x:c r="F287" s="31" t="str"/>
      <x:c r="G287" s="31" t="str"/>
      <x:c r="H287" s="31" t="str"/>
      <x:c r="I287" s="31" t="str"/>
      <x:c r="J287" s="31" t="str">
        <x:v>No</x:v>
      </x:c>
    </x:row>
    <x:row r="288">
      <x:c r="A288" s="31" t="str"/>
      <x:c r="B288" s="31" t="str">
        <x:v>Binary Search</x:v>
      </x:c>
      <x:c r="C288" s="31" t="str">
        <x:v>Hard</x:v>
      </x:c>
      <x:c r="D288" s="31" t="str"/>
      <x:c r="E288" s="31" t="str">
        <x:v>No</x:v>
      </x:c>
      <x:c r="F288" s="31" t="str"/>
      <x:c r="G288" s="31" t="str"/>
      <x:c r="H288" s="31" t="str"/>
      <x:c r="I288" s="31" t="str"/>
      <x:c r="J288" s="31" t="str">
        <x:v>No</x:v>
      </x:c>
    </x:row>
    <x:row r="289">
      <x:c r="A289" s="31" t="str"/>
      <x:c r="B289" s="31" t="str">
        <x:v>Stack</x:v>
      </x:c>
      <x:c r="C289" s="31" t="str">
        <x:v>Easy</x:v>
      </x:c>
      <x:c r="D289" s="31" t="str"/>
      <x:c r="E289" s="31" t="str">
        <x:v>No</x:v>
      </x:c>
      <x:c r="F289" s="31" t="str"/>
      <x:c r="G289" s="31" t="str"/>
      <x:c r="H289" s="31" t="str"/>
      <x:c r="I289" s="31" t="str"/>
      <x:c r="J289" s="31" t="str">
        <x:v>No</x:v>
      </x:c>
    </x:row>
    <x:row r="290">
      <x:c r="A290" s="31" t="str"/>
      <x:c r="B290" s="31" t="str">
        <x:v>Queue</x:v>
      </x:c>
      <x:c r="C290" s="31" t="str">
        <x:v>Medium</x:v>
      </x:c>
      <x:c r="D290" s="31" t="str"/>
      <x:c r="E290" s="31" t="str">
        <x:v>No</x:v>
      </x:c>
      <x:c r="F290" s="31" t="str"/>
      <x:c r="G290" s="31" t="str"/>
      <x:c r="H290" s="31" t="str"/>
      <x:c r="I290" s="31" t="str"/>
      <x:c r="J290" s="31" t="str">
        <x:v>No</x:v>
      </x:c>
    </x:row>
    <x:row r="291">
      <x:c r="A291" s="31" t="str"/>
      <x:c r="B291" s="31" t="str">
        <x:v>Linked List</x:v>
      </x:c>
      <x:c r="C291" s="31" t="str">
        <x:v>Hard</x:v>
      </x:c>
      <x:c r="D291" s="31" t="str"/>
      <x:c r="E291" s="31" t="str">
        <x:v>No</x:v>
      </x:c>
      <x:c r="F291" s="31" t="str"/>
      <x:c r="G291" s="31" t="str"/>
      <x:c r="H291" s="31" t="str"/>
      <x:c r="I291" s="31" t="str"/>
      <x:c r="J291" s="31" t="str">
        <x:v>No</x:v>
      </x:c>
    </x:row>
    <x:row r="292">
      <x:c r="A292" s="31" t="str"/>
      <x:c r="B292" s="31" t="str">
        <x:v>Trees</x:v>
      </x:c>
      <x:c r="C292" s="31" t="str">
        <x:v>Easy</x:v>
      </x:c>
      <x:c r="D292" s="31" t="str"/>
      <x:c r="E292" s="31" t="str">
        <x:v>No</x:v>
      </x:c>
      <x:c r="F292" s="31" t="str"/>
      <x:c r="G292" s="31" t="str"/>
      <x:c r="H292" s="31" t="str"/>
      <x:c r="I292" s="31" t="str"/>
      <x:c r="J292" s="31" t="str">
        <x:v>No</x:v>
      </x:c>
    </x:row>
    <x:row r="293">
      <x:c r="A293" s="31" t="str"/>
      <x:c r="B293" s="31" t="str">
        <x:v>BFS</x:v>
      </x:c>
      <x:c r="C293" s="31" t="str">
        <x:v>Medium</x:v>
      </x:c>
      <x:c r="D293" s="31" t="str"/>
      <x:c r="E293" s="31" t="str">
        <x:v>No</x:v>
      </x:c>
      <x:c r="F293" s="31" t="str"/>
      <x:c r="G293" s="31" t="str"/>
      <x:c r="H293" s="31" t="str"/>
      <x:c r="I293" s="31" t="str"/>
      <x:c r="J293" s="31" t="str">
        <x:v>No</x:v>
      </x:c>
    </x:row>
    <x:row r="294">
      <x:c r="A294" s="31" t="str"/>
      <x:c r="B294" s="31" t="str">
        <x:v>DFS</x:v>
      </x:c>
      <x:c r="C294" s="31" t="str">
        <x:v>Hard</x:v>
      </x:c>
      <x:c r="D294" s="31" t="str"/>
      <x:c r="E294" s="31" t="str">
        <x:v>No</x:v>
      </x:c>
      <x:c r="F294" s="31" t="str"/>
      <x:c r="G294" s="31" t="str"/>
      <x:c r="H294" s="31" t="str"/>
      <x:c r="I294" s="31" t="str"/>
      <x:c r="J294" s="31" t="str">
        <x:v>No</x:v>
      </x:c>
    </x:row>
    <x:row r="295">
      <x:c r="A295" s="31" t="str"/>
      <x:c r="B295" s="31" t="str">
        <x:v>Backtracking</x:v>
      </x:c>
      <x:c r="C295" s="31" t="str">
        <x:v>Easy</x:v>
      </x:c>
      <x:c r="D295" s="31" t="str"/>
      <x:c r="E295" s="31" t="str">
        <x:v>No</x:v>
      </x:c>
      <x:c r="F295" s="31" t="str"/>
      <x:c r="G295" s="31" t="str"/>
      <x:c r="H295" s="31" t="str"/>
      <x:c r="I295" s="31" t="str"/>
      <x:c r="J295" s="31" t="str">
        <x:v>No</x:v>
      </x:c>
    </x:row>
    <x:row r="296">
      <x:c r="A296" s="31" t="str"/>
      <x:c r="B296" s="31" t="str">
        <x:v>Heap</x:v>
      </x:c>
      <x:c r="C296" s="31" t="str">
        <x:v>Medium</x:v>
      </x:c>
      <x:c r="D296" s="31" t="str"/>
      <x:c r="E296" s="31" t="str">
        <x:v>No</x:v>
      </x:c>
      <x:c r="F296" s="31" t="str"/>
      <x:c r="G296" s="31" t="str"/>
      <x:c r="H296" s="31" t="str"/>
      <x:c r="I296" s="31" t="str"/>
      <x:c r="J296" s="31" t="str">
        <x:v>No</x:v>
      </x:c>
    </x:row>
    <x:row r="297">
      <x:c r="A297" s="31" t="str"/>
      <x:c r="B297" s="31" t="str">
        <x:v>Graphs</x:v>
      </x:c>
      <x:c r="C297" s="31" t="str">
        <x:v>Hard</x:v>
      </x:c>
      <x:c r="D297" s="31" t="str"/>
      <x:c r="E297" s="31" t="str">
        <x:v>No</x:v>
      </x:c>
      <x:c r="F297" s="31" t="str"/>
      <x:c r="G297" s="31" t="str"/>
      <x:c r="H297" s="31" t="str"/>
      <x:c r="I297" s="31" t="str"/>
      <x:c r="J297" s="31" t="str">
        <x:v>No</x:v>
      </x:c>
    </x:row>
    <x:row r="298">
      <x:c r="A298" s="31" t="str"/>
      <x:c r="B298" s="31" t="str">
        <x:v>Topological Sort</x:v>
      </x:c>
      <x:c r="C298" s="31" t="str">
        <x:v>Easy</x:v>
      </x:c>
      <x:c r="D298" s="31" t="str"/>
      <x:c r="E298" s="31" t="str">
        <x:v>No</x:v>
      </x:c>
      <x:c r="F298" s="31" t="str"/>
      <x:c r="G298" s="31" t="str"/>
      <x:c r="H298" s="31" t="str"/>
      <x:c r="I298" s="31" t="str"/>
      <x:c r="J298" s="31" t="str">
        <x:v>No</x:v>
      </x:c>
    </x:row>
    <x:row r="299">
      <x:c r="A299" s="31" t="str"/>
      <x:c r="B299" s="31" t="str">
        <x:v>Union-Find</x:v>
      </x:c>
      <x:c r="C299" s="31" t="str">
        <x:v>Medium</x:v>
      </x:c>
      <x:c r="D299" s="31" t="str"/>
      <x:c r="E299" s="31" t="str">
        <x:v>No</x:v>
      </x:c>
      <x:c r="F299" s="31" t="str"/>
      <x:c r="G299" s="31" t="str"/>
      <x:c r="H299" s="31" t="str"/>
      <x:c r="I299" s="31" t="str"/>
      <x:c r="J299" s="31" t="str">
        <x:v>No</x:v>
      </x:c>
    </x:row>
    <x:row r="300">
      <x:c r="A300" s="31" t="str"/>
      <x:c r="B300" s="31" t="str">
        <x:v>Trie</x:v>
      </x:c>
      <x:c r="C300" s="31" t="str">
        <x:v>Hard</x:v>
      </x:c>
      <x:c r="D300" s="31" t="str"/>
      <x:c r="E300" s="31" t="str">
        <x:v>No</x:v>
      </x:c>
      <x:c r="F300" s="31" t="str"/>
      <x:c r="G300" s="31" t="str"/>
      <x:c r="H300" s="31" t="str"/>
      <x:c r="I300" s="31" t="str"/>
      <x:c r="J300" s="31" t="str">
        <x:v>No</x:v>
      </x:c>
    </x:row>
    <x:row r="301">
      <x:c r="A301" s="31" t="str"/>
      <x:c r="B301" s="31" t="str">
        <x:v>Greedy</x:v>
      </x:c>
      <x:c r="C301" s="31" t="str">
        <x:v>Easy</x:v>
      </x:c>
      <x:c r="D301" s="31" t="str"/>
      <x:c r="E301" s="31" t="str">
        <x:v>No</x:v>
      </x:c>
      <x:c r="F301" s="31" t="str"/>
      <x:c r="G301" s="31" t="str"/>
      <x:c r="H301" s="31" t="str"/>
      <x:c r="I301" s="31" t="str"/>
      <x:c r="J301" s="31" t="str">
        <x:v>No</x:v>
      </x:c>
    </x:row>
    <x:row r="302">
      <x:c r="A302" s="31" t="str"/>
      <x:c r="B302" s="31" t="str">
        <x:v>Intervals</x:v>
      </x:c>
      <x:c r="C302" s="31" t="str">
        <x:v>Medium</x:v>
      </x:c>
      <x:c r="D302" s="31" t="str"/>
      <x:c r="E302" s="31" t="str">
        <x:v>No</x:v>
      </x:c>
      <x:c r="F302" s="31" t="str"/>
      <x:c r="G302" s="31" t="str"/>
      <x:c r="H302" s="31" t="str"/>
      <x:c r="I302" s="31" t="str"/>
      <x:c r="J302" s="31" t="str">
        <x:v>No</x:v>
      </x:c>
    </x:row>
    <x:row r="303">
      <x:c r="A303" s="31" t="str"/>
      <x:c r="B303" s="31" t="str">
        <x:v>Dynamic Programming</x:v>
      </x:c>
      <x:c r="C303" s="31" t="str">
        <x:v>Hard</x:v>
      </x:c>
      <x:c r="D303" s="31" t="str"/>
      <x:c r="E303" s="31" t="str">
        <x:v>No</x:v>
      </x:c>
      <x:c r="F303" s="31" t="str"/>
      <x:c r="G303" s="31" t="str"/>
      <x:c r="H303" s="31" t="str"/>
      <x:c r="I303" s="31" t="str"/>
      <x:c r="J303" s="31" t="str">
        <x:v>No</x:v>
      </x:c>
    </x:row>
    <x:row r="304">
      <x:c r="A304" s="31" t="str"/>
      <x:c r="B304" s="31" t="str">
        <x:v>Arrays</x:v>
      </x:c>
      <x:c r="C304" s="31" t="str">
        <x:v>Easy</x:v>
      </x:c>
      <x:c r="D304" s="31" t="str"/>
      <x:c r="E304" s="31" t="str">
        <x:v>No</x:v>
      </x:c>
      <x:c r="F304" s="31" t="str"/>
      <x:c r="G304" s="31" t="str"/>
      <x:c r="H304" s="31" t="str"/>
      <x:c r="I304" s="31" t="str"/>
      <x:c r="J304" s="31" t="str">
        <x:v>No</x:v>
      </x:c>
    </x:row>
    <x:row r="305">
      <x:c r="A305" s="31" t="str"/>
      <x:c r="B305" s="31" t="str">
        <x:v>Hashing</x:v>
      </x:c>
      <x:c r="C305" s="31" t="str">
        <x:v>Medium</x:v>
      </x:c>
      <x:c r="D305" s="31" t="str"/>
      <x:c r="E305" s="31" t="str">
        <x:v>No</x:v>
      </x:c>
      <x:c r="F305" s="31" t="str"/>
      <x:c r="G305" s="31" t="str"/>
      <x:c r="H305" s="31" t="str"/>
      <x:c r="I305" s="31" t="str"/>
      <x:c r="J305" s="31" t="str">
        <x:v>No</x:v>
      </x:c>
    </x:row>
    <x:row r="306">
      <x:c r="A306" s="31" t="str"/>
      <x:c r="B306" s="31" t="str">
        <x:v>Two Pointers</x:v>
      </x:c>
      <x:c r="C306" s="31" t="str">
        <x:v>Hard</x:v>
      </x:c>
      <x:c r="D306" s="31" t="str"/>
      <x:c r="E306" s="31" t="str">
        <x:v>No</x:v>
      </x:c>
      <x:c r="F306" s="31" t="str"/>
      <x:c r="G306" s="31" t="str"/>
      <x:c r="H306" s="31" t="str"/>
      <x:c r="I306" s="31" t="str"/>
      <x:c r="J306" s="31" t="str">
        <x:v>No</x:v>
      </x:c>
    </x:row>
    <x:row r="307">
      <x:c r="A307" s="31" t="str"/>
      <x:c r="B307" s="31" t="str">
        <x:v>Sliding Window</x:v>
      </x:c>
      <x:c r="C307" s="31" t="str">
        <x:v>Easy</x:v>
      </x:c>
      <x:c r="D307" s="31" t="str"/>
      <x:c r="E307" s="31" t="str">
        <x:v>No</x:v>
      </x:c>
      <x:c r="F307" s="31" t="str"/>
      <x:c r="G307" s="31" t="str"/>
      <x:c r="H307" s="31" t="str"/>
      <x:c r="I307" s="31" t="str"/>
      <x:c r="J307" s="31" t="str">
        <x:v>No</x:v>
      </x:c>
    </x:row>
    <x:row r="308">
      <x:c r="A308" s="31" t="str"/>
      <x:c r="B308" s="31" t="str">
        <x:v>Binary Search</x:v>
      </x:c>
      <x:c r="C308" s="31" t="str">
        <x:v>Medium</x:v>
      </x:c>
      <x:c r="D308" s="31" t="str"/>
      <x:c r="E308" s="31" t="str">
        <x:v>No</x:v>
      </x:c>
      <x:c r="F308" s="31" t="str"/>
      <x:c r="G308" s="31" t="str"/>
      <x:c r="H308" s="31" t="str"/>
      <x:c r="I308" s="31" t="str"/>
      <x:c r="J308" s="31" t="str">
        <x:v>No</x:v>
      </x:c>
    </x:row>
    <x:row r="309">
      <x:c r="A309" s="31" t="str"/>
      <x:c r="B309" s="31" t="str">
        <x:v>Stack</x:v>
      </x:c>
      <x:c r="C309" s="31" t="str">
        <x:v>Hard</x:v>
      </x:c>
      <x:c r="D309" s="31" t="str"/>
      <x:c r="E309" s="31" t="str">
        <x:v>No</x:v>
      </x:c>
      <x:c r="F309" s="31" t="str"/>
      <x:c r="G309" s="31" t="str"/>
      <x:c r="H309" s="31" t="str"/>
      <x:c r="I309" s="31" t="str"/>
      <x:c r="J309" s="31" t="str">
        <x:v>No</x:v>
      </x:c>
    </x:row>
    <x:row r="310">
      <x:c r="A310" s="31" t="str"/>
      <x:c r="B310" s="31" t="str">
        <x:v>Queue</x:v>
      </x:c>
      <x:c r="C310" s="31" t="str">
        <x:v>Easy</x:v>
      </x:c>
      <x:c r="D310" s="31" t="str"/>
      <x:c r="E310" s="31" t="str">
        <x:v>No</x:v>
      </x:c>
      <x:c r="F310" s="31" t="str"/>
      <x:c r="G310" s="31" t="str"/>
      <x:c r="H310" s="31" t="str"/>
      <x:c r="I310" s="31" t="str"/>
      <x:c r="J310" s="31" t="str">
        <x:v>No</x:v>
      </x:c>
    </x:row>
    <x:row r="311">
      <x:c r="A311" s="31" t="str"/>
      <x:c r="B311" s="31" t="str">
        <x:v>Linked List</x:v>
      </x:c>
      <x:c r="C311" s="31" t="str">
        <x:v>Medium</x:v>
      </x:c>
      <x:c r="D311" s="31" t="str"/>
      <x:c r="E311" s="31" t="str">
        <x:v>No</x:v>
      </x:c>
      <x:c r="F311" s="31" t="str"/>
      <x:c r="G311" s="31" t="str"/>
      <x:c r="H311" s="31" t="str"/>
      <x:c r="I311" s="31" t="str"/>
      <x:c r="J311" s="31" t="str">
        <x:v>No</x:v>
      </x:c>
    </x:row>
    <x:row r="312">
      <x:c r="A312" s="31" t="str"/>
      <x:c r="B312" s="31" t="str">
        <x:v>Trees</x:v>
      </x:c>
      <x:c r="C312" s="31" t="str">
        <x:v>Hard</x:v>
      </x:c>
      <x:c r="D312" s="31" t="str"/>
      <x:c r="E312" s="31" t="str">
        <x:v>No</x:v>
      </x:c>
      <x:c r="F312" s="31" t="str"/>
      <x:c r="G312" s="31" t="str"/>
      <x:c r="H312" s="31" t="str"/>
      <x:c r="I312" s="31" t="str"/>
      <x:c r="J312" s="31" t="str">
        <x:v>No</x:v>
      </x:c>
    </x:row>
    <x:row r="313">
      <x:c r="A313" s="31" t="str"/>
      <x:c r="B313" s="31" t="str">
        <x:v>BFS</x:v>
      </x:c>
      <x:c r="C313" s="31" t="str">
        <x:v>Easy</x:v>
      </x:c>
      <x:c r="D313" s="31" t="str"/>
      <x:c r="E313" s="31" t="str">
        <x:v>No</x:v>
      </x:c>
      <x:c r="F313" s="31" t="str"/>
      <x:c r="G313" s="31" t="str"/>
      <x:c r="H313" s="31" t="str"/>
      <x:c r="I313" s="31" t="str"/>
      <x:c r="J313" s="31" t="str">
        <x:v>No</x:v>
      </x:c>
    </x:row>
    <x:row r="314">
      <x:c r="A314" s="31" t="str"/>
      <x:c r="B314" s="31" t="str">
        <x:v>DFS</x:v>
      </x:c>
      <x:c r="C314" s="31" t="str">
        <x:v>Medium</x:v>
      </x:c>
      <x:c r="D314" s="31" t="str"/>
      <x:c r="E314" s="31" t="str">
        <x:v>No</x:v>
      </x:c>
      <x:c r="F314" s="31" t="str"/>
      <x:c r="G314" s="31" t="str"/>
      <x:c r="H314" s="31" t="str"/>
      <x:c r="I314" s="31" t="str"/>
      <x:c r="J314" s="31" t="str">
        <x:v>No</x:v>
      </x:c>
    </x:row>
    <x:row r="315">
      <x:c r="A315" s="31" t="str"/>
      <x:c r="B315" s="31" t="str">
        <x:v>Backtracking</x:v>
      </x:c>
      <x:c r="C315" s="31" t="str">
        <x:v>Hard</x:v>
      </x:c>
      <x:c r="D315" s="31" t="str"/>
      <x:c r="E315" s="31" t="str">
        <x:v>No</x:v>
      </x:c>
      <x:c r="F315" s="31" t="str"/>
      <x:c r="G315" s="31" t="str"/>
      <x:c r="H315" s="31" t="str"/>
      <x:c r="I315" s="31" t="str"/>
      <x:c r="J315" s="31" t="str">
        <x:v>No</x:v>
      </x:c>
    </x:row>
    <x:row r="316">
      <x:c r="A316" s="31" t="str"/>
      <x:c r="B316" s="31" t="str">
        <x:v>Heap</x:v>
      </x:c>
      <x:c r="C316" s="31" t="str">
        <x:v>Easy</x:v>
      </x:c>
      <x:c r="D316" s="31" t="str"/>
      <x:c r="E316" s="31" t="str">
        <x:v>No</x:v>
      </x:c>
      <x:c r="F316" s="31" t="str"/>
      <x:c r="G316" s="31" t="str"/>
      <x:c r="H316" s="31" t="str"/>
      <x:c r="I316" s="31" t="str"/>
      <x:c r="J316" s="31" t="str">
        <x:v>No</x:v>
      </x:c>
    </x:row>
    <x:row r="317">
      <x:c r="A317" s="31" t="str"/>
      <x:c r="B317" s="31" t="str">
        <x:v>Graphs</x:v>
      </x:c>
      <x:c r="C317" s="31" t="str">
        <x:v>Medium</x:v>
      </x:c>
      <x:c r="D317" s="31" t="str"/>
      <x:c r="E317" s="31" t="str">
        <x:v>No</x:v>
      </x:c>
      <x:c r="F317" s="31" t="str"/>
      <x:c r="G317" s="31" t="str"/>
      <x:c r="H317" s="31" t="str"/>
      <x:c r="I317" s="31" t="str"/>
      <x:c r="J317" s="31" t="str">
        <x:v>No</x:v>
      </x:c>
    </x:row>
    <x:row r="318">
      <x:c r="A318" s="31" t="str"/>
      <x:c r="B318" s="31" t="str">
        <x:v>Topological Sort</x:v>
      </x:c>
      <x:c r="C318" s="31" t="str">
        <x:v>Hard</x:v>
      </x:c>
      <x:c r="D318" s="31" t="str"/>
      <x:c r="E318" s="31" t="str">
        <x:v>No</x:v>
      </x:c>
      <x:c r="F318" s="31" t="str"/>
      <x:c r="G318" s="31" t="str"/>
      <x:c r="H318" s="31" t="str"/>
      <x:c r="I318" s="31" t="str"/>
      <x:c r="J318" s="31" t="str">
        <x:v>No</x:v>
      </x:c>
    </x:row>
    <x:row r="319">
      <x:c r="A319" s="31" t="str"/>
      <x:c r="B319" s="31" t="str">
        <x:v>Union-Find</x:v>
      </x:c>
      <x:c r="C319" s="31" t="str">
        <x:v>Easy</x:v>
      </x:c>
      <x:c r="D319" s="31" t="str"/>
      <x:c r="E319" s="31" t="str">
        <x:v>No</x:v>
      </x:c>
      <x:c r="F319" s="31" t="str"/>
      <x:c r="G319" s="31" t="str"/>
      <x:c r="H319" s="31" t="str"/>
      <x:c r="I319" s="31" t="str"/>
      <x:c r="J319" s="31" t="str">
        <x:v>No</x:v>
      </x:c>
    </x:row>
    <x:row r="320">
      <x:c r="A320" s="31" t="str"/>
      <x:c r="B320" s="31" t="str">
        <x:v>Trie</x:v>
      </x:c>
      <x:c r="C320" s="31" t="str">
        <x:v>Medium</x:v>
      </x:c>
      <x:c r="D320" s="31" t="str"/>
      <x:c r="E320" s="31" t="str">
        <x:v>No</x:v>
      </x:c>
      <x:c r="F320" s="31" t="str"/>
      <x:c r="G320" s="31" t="str"/>
      <x:c r="H320" s="31" t="str"/>
      <x:c r="I320" s="31" t="str"/>
      <x:c r="J320" s="31" t="str">
        <x:v>No</x:v>
      </x:c>
    </x:row>
    <x:row r="321">
      <x:c r="A321" s="31" t="str"/>
      <x:c r="B321" s="31" t="str">
        <x:v>Greedy</x:v>
      </x:c>
      <x:c r="C321" s="31" t="str">
        <x:v>Hard</x:v>
      </x:c>
      <x:c r="D321" s="31" t="str"/>
      <x:c r="E321" s="31" t="str">
        <x:v>No</x:v>
      </x:c>
      <x:c r="F321" s="31" t="str"/>
      <x:c r="G321" s="31" t="str"/>
      <x:c r="H321" s="31" t="str"/>
      <x:c r="I321" s="31" t="str"/>
      <x:c r="J321" s="31" t="str">
        <x:v>No</x:v>
      </x:c>
    </x:row>
    <x:row r="322">
      <x:c r="A322" s="31" t="str"/>
      <x:c r="B322" s="31" t="str">
        <x:v>Intervals</x:v>
      </x:c>
      <x:c r="C322" s="31" t="str">
        <x:v>Easy</x:v>
      </x:c>
      <x:c r="D322" s="31" t="str"/>
      <x:c r="E322" s="31" t="str">
        <x:v>No</x:v>
      </x:c>
      <x:c r="F322" s="31" t="str"/>
      <x:c r="G322" s="31" t="str"/>
      <x:c r="H322" s="31" t="str"/>
      <x:c r="I322" s="31" t="str"/>
      <x:c r="J322" s="31" t="str">
        <x:v>No</x:v>
      </x:c>
    </x:row>
    <x:row r="323">
      <x:c r="A323" s="31" t="str"/>
      <x:c r="B323" s="31" t="str">
        <x:v>Dynamic Programming</x:v>
      </x:c>
      <x:c r="C323" s="31" t="str">
        <x:v>Medium</x:v>
      </x:c>
      <x:c r="D323" s="31" t="str"/>
      <x:c r="E323" s="31" t="str">
        <x:v>No</x:v>
      </x:c>
      <x:c r="F323" s="31" t="str"/>
      <x:c r="G323" s="31" t="str"/>
      <x:c r="H323" s="31" t="str"/>
      <x:c r="I323" s="31" t="str"/>
      <x:c r="J323" s="31" t="str">
        <x:v>No</x:v>
      </x:c>
    </x:row>
    <x:row r="324">
      <x:c r="A324" s="31" t="str"/>
      <x:c r="B324" s="31" t="str">
        <x:v>Arrays</x:v>
      </x:c>
      <x:c r="C324" s="31" t="str">
        <x:v>Hard</x:v>
      </x:c>
      <x:c r="D324" s="31" t="str"/>
      <x:c r="E324" s="31" t="str">
        <x:v>No</x:v>
      </x:c>
      <x:c r="F324" s="31" t="str"/>
      <x:c r="G324" s="31" t="str"/>
      <x:c r="H324" s="31" t="str"/>
      <x:c r="I324" s="31" t="str"/>
      <x:c r="J324" s="31" t="str">
        <x:v>No</x:v>
      </x:c>
    </x:row>
    <x:row r="325">
      <x:c r="A325" s="31" t="str"/>
      <x:c r="B325" s="31" t="str">
        <x:v>Hashing</x:v>
      </x:c>
      <x:c r="C325" s="31" t="str">
        <x:v>Easy</x:v>
      </x:c>
      <x:c r="D325" s="31" t="str"/>
      <x:c r="E325" s="31" t="str">
        <x:v>No</x:v>
      </x:c>
      <x:c r="F325" s="31" t="str"/>
      <x:c r="G325" s="31" t="str"/>
      <x:c r="H325" s="31" t="str"/>
      <x:c r="I325" s="31" t="str"/>
      <x:c r="J325" s="31" t="str">
        <x:v>No</x:v>
      </x:c>
    </x:row>
    <x:row r="326">
      <x:c r="A326" s="31" t="str"/>
      <x:c r="B326" s="31" t="str">
        <x:v>Two Pointers</x:v>
      </x:c>
      <x:c r="C326" s="31" t="str">
        <x:v>Medium</x:v>
      </x:c>
      <x:c r="D326" s="31" t="str"/>
      <x:c r="E326" s="31" t="str">
        <x:v>No</x:v>
      </x:c>
      <x:c r="F326" s="31" t="str"/>
      <x:c r="G326" s="31" t="str"/>
      <x:c r="H326" s="31" t="str"/>
      <x:c r="I326" s="31" t="str"/>
      <x:c r="J326" s="31" t="str">
        <x:v>No</x:v>
      </x:c>
    </x:row>
    <x:row r="327">
      <x:c r="A327" s="31" t="str"/>
      <x:c r="B327" s="31" t="str">
        <x:v>Sliding Window</x:v>
      </x:c>
      <x:c r="C327" s="31" t="str">
        <x:v>Hard</x:v>
      </x:c>
      <x:c r="D327" s="31" t="str"/>
      <x:c r="E327" s="31" t="str">
        <x:v>No</x:v>
      </x:c>
      <x:c r="F327" s="31" t="str"/>
      <x:c r="G327" s="31" t="str"/>
      <x:c r="H327" s="31" t="str"/>
      <x:c r="I327" s="31" t="str"/>
      <x:c r="J327" s="31" t="str">
        <x:v>No</x:v>
      </x:c>
    </x:row>
    <x:row r="328">
      <x:c r="A328" s="31" t="str"/>
      <x:c r="B328" s="31" t="str">
        <x:v>Binary Search</x:v>
      </x:c>
      <x:c r="C328" s="31" t="str">
        <x:v>Easy</x:v>
      </x:c>
      <x:c r="D328" s="31" t="str"/>
      <x:c r="E328" s="31" t="str">
        <x:v>No</x:v>
      </x:c>
      <x:c r="F328" s="31" t="str"/>
      <x:c r="G328" s="31" t="str"/>
      <x:c r="H328" s="31" t="str"/>
      <x:c r="I328" s="31" t="str"/>
      <x:c r="J328" s="31" t="str">
        <x:v>No</x:v>
      </x:c>
    </x:row>
    <x:row r="329">
      <x:c r="A329" s="31" t="str"/>
      <x:c r="B329" s="31" t="str">
        <x:v>Stack</x:v>
      </x:c>
      <x:c r="C329" s="31" t="str">
        <x:v>Medium</x:v>
      </x:c>
      <x:c r="D329" s="31" t="str"/>
      <x:c r="E329" s="31" t="str">
        <x:v>No</x:v>
      </x:c>
      <x:c r="F329" s="31" t="str"/>
      <x:c r="G329" s="31" t="str"/>
      <x:c r="H329" s="31" t="str"/>
      <x:c r="I329" s="31" t="str"/>
      <x:c r="J329" s="31" t="str">
        <x:v>No</x:v>
      </x:c>
    </x:row>
    <x:row r="330">
      <x:c r="A330" s="31" t="str"/>
      <x:c r="B330" s="31" t="str">
        <x:v>Queue</x:v>
      </x:c>
      <x:c r="C330" s="31" t="str">
        <x:v>Hard</x:v>
      </x:c>
      <x:c r="D330" s="31" t="str"/>
      <x:c r="E330" s="31" t="str">
        <x:v>No</x:v>
      </x:c>
      <x:c r="F330" s="31" t="str"/>
      <x:c r="G330" s="31" t="str"/>
      <x:c r="H330" s="31" t="str"/>
      <x:c r="I330" s="31" t="str"/>
      <x:c r="J330" s="31" t="str">
        <x:v>No</x:v>
      </x:c>
    </x:row>
    <x:row r="331">
      <x:c r="A331" s="31" t="str"/>
      <x:c r="B331" s="31" t="str">
        <x:v>Linked List</x:v>
      </x:c>
      <x:c r="C331" s="31" t="str">
        <x:v>Easy</x:v>
      </x:c>
      <x:c r="D331" s="31" t="str"/>
      <x:c r="E331" s="31" t="str">
        <x:v>No</x:v>
      </x:c>
      <x:c r="F331" s="31" t="str"/>
      <x:c r="G331" s="31" t="str"/>
      <x:c r="H331" s="31" t="str"/>
      <x:c r="I331" s="31" t="str"/>
      <x:c r="J331" s="31" t="str">
        <x:v>No</x:v>
      </x:c>
    </x:row>
    <x:row r="332">
      <x:c r="A332" s="31" t="str"/>
      <x:c r="B332" s="31" t="str">
        <x:v>Trees</x:v>
      </x:c>
      <x:c r="C332" s="31" t="str">
        <x:v>Medium</x:v>
      </x:c>
      <x:c r="D332" s="31" t="str"/>
      <x:c r="E332" s="31" t="str">
        <x:v>No</x:v>
      </x:c>
      <x:c r="F332" s="31" t="str"/>
      <x:c r="G332" s="31" t="str"/>
      <x:c r="H332" s="31" t="str"/>
      <x:c r="I332" s="31" t="str"/>
      <x:c r="J332" s="31" t="str">
        <x:v>No</x:v>
      </x:c>
    </x:row>
    <x:row r="333">
      <x:c r="A333" s="31" t="str"/>
      <x:c r="B333" s="31" t="str">
        <x:v>BFS</x:v>
      </x:c>
      <x:c r="C333" s="31" t="str">
        <x:v>Hard</x:v>
      </x:c>
      <x:c r="D333" s="31" t="str"/>
      <x:c r="E333" s="31" t="str">
        <x:v>No</x:v>
      </x:c>
      <x:c r="F333" s="31" t="str"/>
      <x:c r="G333" s="31" t="str"/>
      <x:c r="H333" s="31" t="str"/>
      <x:c r="I333" s="31" t="str"/>
      <x:c r="J333" s="31" t="str">
        <x:v>No</x:v>
      </x:c>
    </x:row>
    <x:row r="334">
      <x:c r="A334" s="31" t="str"/>
      <x:c r="B334" s="31" t="str">
        <x:v>DFS</x:v>
      </x:c>
      <x:c r="C334" s="31" t="str">
        <x:v>Easy</x:v>
      </x:c>
      <x:c r="D334" s="31" t="str"/>
      <x:c r="E334" s="31" t="str">
        <x:v>No</x:v>
      </x:c>
      <x:c r="F334" s="31" t="str"/>
      <x:c r="G334" s="31" t="str"/>
      <x:c r="H334" s="31" t="str"/>
      <x:c r="I334" s="31" t="str"/>
      <x:c r="J334" s="31" t="str">
        <x:v>No</x:v>
      </x:c>
    </x:row>
    <x:row r="335">
      <x:c r="A335" s="31" t="str"/>
      <x:c r="B335" s="31" t="str">
        <x:v>Backtracking</x:v>
      </x:c>
      <x:c r="C335" s="31" t="str">
        <x:v>Medium</x:v>
      </x:c>
      <x:c r="D335" s="31" t="str"/>
      <x:c r="E335" s="31" t="str">
        <x:v>No</x:v>
      </x:c>
      <x:c r="F335" s="31" t="str"/>
      <x:c r="G335" s="31" t="str"/>
      <x:c r="H335" s="31" t="str"/>
      <x:c r="I335" s="31" t="str"/>
      <x:c r="J335" s="31" t="str">
        <x:v>No</x:v>
      </x:c>
    </x:row>
    <x:row r="336">
      <x:c r="A336" s="31" t="str"/>
      <x:c r="B336" s="31" t="str">
        <x:v>Heap</x:v>
      </x:c>
      <x:c r="C336" s="31" t="str">
        <x:v>Hard</x:v>
      </x:c>
      <x:c r="D336" s="31" t="str"/>
      <x:c r="E336" s="31" t="str">
        <x:v>No</x:v>
      </x:c>
      <x:c r="F336" s="31" t="str"/>
      <x:c r="G336" s="31" t="str"/>
      <x:c r="H336" s="31" t="str"/>
      <x:c r="I336" s="31" t="str"/>
      <x:c r="J336" s="31" t="str">
        <x:v>No</x:v>
      </x:c>
    </x:row>
    <x:row r="337">
      <x:c r="A337" s="31" t="str"/>
      <x:c r="B337" s="31" t="str">
        <x:v>Graphs</x:v>
      </x:c>
      <x:c r="C337" s="31" t="str">
        <x:v>Easy</x:v>
      </x:c>
      <x:c r="D337" s="31" t="str"/>
      <x:c r="E337" s="31" t="str">
        <x:v>No</x:v>
      </x:c>
      <x:c r="F337" s="31" t="str"/>
      <x:c r="G337" s="31" t="str"/>
      <x:c r="H337" s="31" t="str"/>
      <x:c r="I337" s="31" t="str"/>
      <x:c r="J337" s="31" t="str">
        <x:v>No</x:v>
      </x:c>
    </x:row>
    <x:row r="338">
      <x:c r="A338" s="31" t="str"/>
      <x:c r="B338" s="31" t="str">
        <x:v>Topological Sort</x:v>
      </x:c>
      <x:c r="C338" s="31" t="str">
        <x:v>Medium</x:v>
      </x:c>
      <x:c r="D338" s="31" t="str"/>
      <x:c r="E338" s="31" t="str">
        <x:v>No</x:v>
      </x:c>
      <x:c r="F338" s="31" t="str"/>
      <x:c r="G338" s="31" t="str"/>
      <x:c r="H338" s="31" t="str"/>
      <x:c r="I338" s="31" t="str"/>
      <x:c r="J338" s="31" t="str">
        <x:v>No</x:v>
      </x:c>
    </x:row>
    <x:row r="339">
      <x:c r="A339" s="31" t="str"/>
      <x:c r="B339" s="31" t="str">
        <x:v>Union-Find</x:v>
      </x:c>
      <x:c r="C339" s="31" t="str">
        <x:v>Hard</x:v>
      </x:c>
      <x:c r="D339" s="31" t="str"/>
      <x:c r="E339" s="31" t="str">
        <x:v>No</x:v>
      </x:c>
      <x:c r="F339" s="31" t="str"/>
      <x:c r="G339" s="31" t="str"/>
      <x:c r="H339" s="31" t="str"/>
      <x:c r="I339" s="31" t="str"/>
      <x:c r="J339" s="31" t="str">
        <x:v>No</x:v>
      </x:c>
    </x:row>
    <x:row r="340">
      <x:c r="A340" s="31" t="str"/>
      <x:c r="B340" s="31" t="str">
        <x:v>Trie</x:v>
      </x:c>
      <x:c r="C340" s="31" t="str">
        <x:v>Easy</x:v>
      </x:c>
      <x:c r="D340" s="31" t="str"/>
      <x:c r="E340" s="31" t="str">
        <x:v>No</x:v>
      </x:c>
      <x:c r="F340" s="31" t="str"/>
      <x:c r="G340" s="31" t="str"/>
      <x:c r="H340" s="31" t="str"/>
      <x:c r="I340" s="31" t="str"/>
      <x:c r="J340" s="31" t="str">
        <x:v>No</x:v>
      </x:c>
    </x:row>
    <x:row r="341">
      <x:c r="A341" s="31" t="str"/>
      <x:c r="B341" s="31" t="str">
        <x:v>Greedy</x:v>
      </x:c>
      <x:c r="C341" s="31" t="str">
        <x:v>Medium</x:v>
      </x:c>
      <x:c r="D341" s="31" t="str"/>
      <x:c r="E341" s="31" t="str">
        <x:v>No</x:v>
      </x:c>
      <x:c r="F341" s="31" t="str"/>
      <x:c r="G341" s="31" t="str"/>
      <x:c r="H341" s="31" t="str"/>
      <x:c r="I341" s="31" t="str"/>
      <x:c r="J341" s="31" t="str">
        <x:v>No</x:v>
      </x:c>
    </x:row>
    <x:row r="342">
      <x:c r="A342" s="31" t="str"/>
      <x:c r="B342" s="31" t="str">
        <x:v>Intervals</x:v>
      </x:c>
      <x:c r="C342" s="31" t="str">
        <x:v>Hard</x:v>
      </x:c>
      <x:c r="D342" s="31" t="str"/>
      <x:c r="E342" s="31" t="str">
        <x:v>No</x:v>
      </x:c>
      <x:c r="F342" s="31" t="str"/>
      <x:c r="G342" s="31" t="str"/>
      <x:c r="H342" s="31" t="str"/>
      <x:c r="I342" s="31" t="str"/>
      <x:c r="J342" s="31" t="str">
        <x:v>No</x:v>
      </x:c>
    </x:row>
    <x:row r="343">
      <x:c r="A343" s="31" t="str"/>
      <x:c r="B343" s="31" t="str">
        <x:v>Dynamic Programming</x:v>
      </x:c>
      <x:c r="C343" s="31" t="str">
        <x:v>Easy</x:v>
      </x:c>
      <x:c r="D343" s="31" t="str"/>
      <x:c r="E343" s="31" t="str">
        <x:v>No</x:v>
      </x:c>
      <x:c r="F343" s="31" t="str"/>
      <x:c r="G343" s="31" t="str"/>
      <x:c r="H343" s="31" t="str"/>
      <x:c r="I343" s="31" t="str"/>
      <x:c r="J343" s="31" t="str">
        <x:v>No</x:v>
      </x:c>
    </x:row>
    <x:row r="344">
      <x:c r="A344" s="31" t="str"/>
      <x:c r="B344" s="31" t="str">
        <x:v>Arrays</x:v>
      </x:c>
      <x:c r="C344" s="31" t="str">
        <x:v>Medium</x:v>
      </x:c>
      <x:c r="D344" s="31" t="str"/>
      <x:c r="E344" s="31" t="str">
        <x:v>No</x:v>
      </x:c>
      <x:c r="F344" s="31" t="str"/>
      <x:c r="G344" s="31" t="str"/>
      <x:c r="H344" s="31" t="str"/>
      <x:c r="I344" s="31" t="str"/>
      <x:c r="J344" s="31" t="str">
        <x:v>No</x:v>
      </x:c>
    </x:row>
    <x:row r="345">
      <x:c r="A345" s="31" t="str"/>
      <x:c r="B345" s="31" t="str">
        <x:v>Hashing</x:v>
      </x:c>
      <x:c r="C345" s="31" t="str">
        <x:v>Hard</x:v>
      </x:c>
      <x:c r="D345" s="31" t="str"/>
      <x:c r="E345" s="31" t="str">
        <x:v>No</x:v>
      </x:c>
      <x:c r="F345" s="31" t="str"/>
      <x:c r="G345" s="31" t="str"/>
      <x:c r="H345" s="31" t="str"/>
      <x:c r="I345" s="31" t="str"/>
      <x:c r="J345" s="31" t="str">
        <x:v>No</x:v>
      </x:c>
    </x:row>
    <x:row r="346">
      <x:c r="A346" s="31" t="str"/>
      <x:c r="B346" s="31" t="str">
        <x:v>Two Pointers</x:v>
      </x:c>
      <x:c r="C346" s="31" t="str">
        <x:v>Easy</x:v>
      </x:c>
      <x:c r="D346" s="31" t="str"/>
      <x:c r="E346" s="31" t="str">
        <x:v>No</x:v>
      </x:c>
      <x:c r="F346" s="31" t="str"/>
      <x:c r="G346" s="31" t="str"/>
      <x:c r="H346" s="31" t="str"/>
      <x:c r="I346" s="31" t="str"/>
      <x:c r="J346" s="31" t="str">
        <x:v>No</x:v>
      </x:c>
    </x:row>
    <x:row r="347">
      <x:c r="A347" s="31" t="str"/>
      <x:c r="B347" s="31" t="str">
        <x:v>Sliding Window</x:v>
      </x:c>
      <x:c r="C347" s="31" t="str">
        <x:v>Medium</x:v>
      </x:c>
      <x:c r="D347" s="31" t="str"/>
      <x:c r="E347" s="31" t="str">
        <x:v>No</x:v>
      </x:c>
      <x:c r="F347" s="31" t="str"/>
      <x:c r="G347" s="31" t="str"/>
      <x:c r="H347" s="31" t="str"/>
      <x:c r="I347" s="31" t="str"/>
      <x:c r="J347" s="31" t="str">
        <x:v>No</x:v>
      </x:c>
    </x:row>
    <x:row r="348">
      <x:c r="A348" s="31" t="str"/>
      <x:c r="B348" s="31" t="str">
        <x:v>Binary Search</x:v>
      </x:c>
      <x:c r="C348" s="31" t="str">
        <x:v>Hard</x:v>
      </x:c>
      <x:c r="D348" s="31" t="str"/>
      <x:c r="E348" s="31" t="str">
        <x:v>No</x:v>
      </x:c>
      <x:c r="F348" s="31" t="str"/>
      <x:c r="G348" s="31" t="str"/>
      <x:c r="H348" s="31" t="str"/>
      <x:c r="I348" s="31" t="str"/>
      <x:c r="J348" s="31" t="str">
        <x:v>No</x:v>
      </x:c>
    </x:row>
    <x:row r="349">
      <x:c r="A349" s="31" t="str"/>
      <x:c r="B349" s="31" t="str">
        <x:v>Stack</x:v>
      </x:c>
      <x:c r="C349" s="31" t="str">
        <x:v>Easy</x:v>
      </x:c>
      <x:c r="D349" s="31" t="str"/>
      <x:c r="E349" s="31" t="str">
        <x:v>No</x:v>
      </x:c>
      <x:c r="F349" s="31" t="str"/>
      <x:c r="G349" s="31" t="str"/>
      <x:c r="H349" s="31" t="str"/>
      <x:c r="I349" s="31" t="str"/>
      <x:c r="J349" s="31" t="str">
        <x:v>No</x:v>
      </x:c>
    </x:row>
    <x:row r="350">
      <x:c r="A350" s="31" t="str"/>
      <x:c r="B350" s="31" t="str">
        <x:v>Queue</x:v>
      </x:c>
      <x:c r="C350" s="31" t="str">
        <x:v>Medium</x:v>
      </x:c>
      <x:c r="D350" s="31" t="str"/>
      <x:c r="E350" s="31" t="str">
        <x:v>No</x:v>
      </x:c>
      <x:c r="F350" s="31" t="str"/>
      <x:c r="G350" s="31" t="str"/>
      <x:c r="H350" s="31" t="str"/>
      <x:c r="I350" s="31" t="str"/>
      <x:c r="J350" s="31" t="str">
        <x:v>No</x:v>
      </x:c>
    </x:row>
    <x:row r="351">
      <x:c r="A351" s="31" t="str"/>
      <x:c r="B351" s="31" t="str">
        <x:v>Linked List</x:v>
      </x:c>
      <x:c r="C351" s="31" t="str">
        <x:v>Hard</x:v>
      </x:c>
      <x:c r="D351" s="31" t="str"/>
      <x:c r="E351" s="31" t="str">
        <x:v>No</x:v>
      </x:c>
      <x:c r="F351" s="31" t="str"/>
      <x:c r="G351" s="31" t="str"/>
      <x:c r="H351" s="31" t="str"/>
      <x:c r="I351" s="31" t="str"/>
      <x:c r="J351" s="31" t="str">
        <x:v>No</x:v>
      </x:c>
    </x:row>
    <x:row r="352">
      <x:c r="A352" s="31" t="str"/>
      <x:c r="B352" s="31" t="str">
        <x:v>Trees</x:v>
      </x:c>
      <x:c r="C352" s="31" t="str">
        <x:v>Easy</x:v>
      </x:c>
      <x:c r="D352" s="31" t="str"/>
      <x:c r="E352" s="31" t="str">
        <x:v>No</x:v>
      </x:c>
      <x:c r="F352" s="31" t="str"/>
      <x:c r="G352" s="31" t="str"/>
      <x:c r="H352" s="31" t="str"/>
      <x:c r="I352" s="31" t="str"/>
      <x:c r="J352" s="31" t="str">
        <x:v>No</x:v>
      </x:c>
    </x:row>
    <x:row r="353">
      <x:c r="A353" s="31" t="str"/>
      <x:c r="B353" s="31" t="str">
        <x:v>BFS</x:v>
      </x:c>
      <x:c r="C353" s="31" t="str">
        <x:v>Medium</x:v>
      </x:c>
      <x:c r="D353" s="31" t="str"/>
      <x:c r="E353" s="31" t="str">
        <x:v>No</x:v>
      </x:c>
      <x:c r="F353" s="31" t="str"/>
      <x:c r="G353" s="31" t="str"/>
      <x:c r="H353" s="31" t="str"/>
      <x:c r="I353" s="31" t="str"/>
      <x:c r="J353" s="31" t="str">
        <x:v>No</x:v>
      </x:c>
    </x:row>
    <x:row r="354">
      <x:c r="A354" s="31" t="str"/>
      <x:c r="B354" s="31" t="str">
        <x:v>DFS</x:v>
      </x:c>
      <x:c r="C354" s="31" t="str">
        <x:v>Hard</x:v>
      </x:c>
      <x:c r="D354" s="31" t="str"/>
      <x:c r="E354" s="31" t="str">
        <x:v>No</x:v>
      </x:c>
      <x:c r="F354" s="31" t="str"/>
      <x:c r="G354" s="31" t="str"/>
      <x:c r="H354" s="31" t="str"/>
      <x:c r="I354" s="31" t="str"/>
      <x:c r="J354" s="31" t="str">
        <x:v>No</x:v>
      </x:c>
    </x:row>
    <x:row r="355">
      <x:c r="A355" s="31" t="str"/>
      <x:c r="B355" s="31" t="str">
        <x:v>Backtracking</x:v>
      </x:c>
      <x:c r="C355" s="31" t="str">
        <x:v>Easy</x:v>
      </x:c>
      <x:c r="D355" s="31" t="str"/>
      <x:c r="E355" s="31" t="str">
        <x:v>No</x:v>
      </x:c>
      <x:c r="F355" s="31" t="str"/>
      <x:c r="G355" s="31" t="str"/>
      <x:c r="H355" s="31" t="str"/>
      <x:c r="I355" s="31" t="str"/>
      <x:c r="J355" s="31" t="str">
        <x:v>No</x:v>
      </x:c>
    </x:row>
    <x:row r="356">
      <x:c r="A356" s="31" t="str"/>
      <x:c r="B356" s="31" t="str">
        <x:v>Heap</x:v>
      </x:c>
      <x:c r="C356" s="31" t="str">
        <x:v>Medium</x:v>
      </x:c>
      <x:c r="D356" s="31" t="str"/>
      <x:c r="E356" s="31" t="str">
        <x:v>No</x:v>
      </x:c>
      <x:c r="F356" s="31" t="str"/>
      <x:c r="G356" s="31" t="str"/>
      <x:c r="H356" s="31" t="str"/>
      <x:c r="I356" s="31" t="str"/>
      <x:c r="J356" s="31" t="str">
        <x:v>No</x:v>
      </x:c>
    </x:row>
    <x:row r="357">
      <x:c r="A357" s="31" t="str"/>
      <x:c r="B357" s="31" t="str">
        <x:v>Graphs</x:v>
      </x:c>
      <x:c r="C357" s="31" t="str">
        <x:v>Hard</x:v>
      </x:c>
      <x:c r="D357" s="31" t="str"/>
      <x:c r="E357" s="31" t="str">
        <x:v>No</x:v>
      </x:c>
      <x:c r="F357" s="31" t="str"/>
      <x:c r="G357" s="31" t="str"/>
      <x:c r="H357" s="31" t="str"/>
      <x:c r="I357" s="31" t="str"/>
      <x:c r="J357" s="31" t="str">
        <x:v>No</x:v>
      </x:c>
    </x:row>
    <x:row r="358">
      <x:c r="A358" s="31" t="str"/>
      <x:c r="B358" s="31" t="str">
        <x:v>Topological Sort</x:v>
      </x:c>
      <x:c r="C358" s="31" t="str">
        <x:v>Easy</x:v>
      </x:c>
      <x:c r="D358" s="31" t="str"/>
      <x:c r="E358" s="31" t="str">
        <x:v>No</x:v>
      </x:c>
      <x:c r="F358" s="31" t="str"/>
      <x:c r="G358" s="31" t="str"/>
      <x:c r="H358" s="31" t="str"/>
      <x:c r="I358" s="31" t="str"/>
      <x:c r="J358" s="31" t="str">
        <x:v>No</x:v>
      </x:c>
    </x:row>
    <x:row r="359">
      <x:c r="A359" s="31" t="str"/>
      <x:c r="B359" s="31" t="str">
        <x:v>Union-Find</x:v>
      </x:c>
      <x:c r="C359" s="31" t="str">
        <x:v>Medium</x:v>
      </x:c>
      <x:c r="D359" s="31" t="str"/>
      <x:c r="E359" s="31" t="str">
        <x:v>No</x:v>
      </x:c>
      <x:c r="F359" s="31" t="str"/>
      <x:c r="G359" s="31" t="str"/>
      <x:c r="H359" s="31" t="str"/>
      <x:c r="I359" s="31" t="str"/>
      <x:c r="J359" s="31" t="str">
        <x:v>No</x:v>
      </x:c>
    </x:row>
    <x:row r="360">
      <x:c r="A360" s="31" t="str"/>
      <x:c r="B360" s="31" t="str">
        <x:v>Trie</x:v>
      </x:c>
      <x:c r="C360" s="31" t="str">
        <x:v>Hard</x:v>
      </x:c>
      <x:c r="D360" s="31" t="str"/>
      <x:c r="E360" s="31" t="str">
        <x:v>No</x:v>
      </x:c>
      <x:c r="F360" s="31" t="str"/>
      <x:c r="G360" s="31" t="str"/>
      <x:c r="H360" s="31" t="str"/>
      <x:c r="I360" s="31" t="str"/>
      <x:c r="J360" s="31" t="str">
        <x:v>No</x:v>
      </x:c>
    </x:row>
    <x:row r="361">
      <x:c r="A361" s="31" t="str"/>
      <x:c r="B361" s="31" t="str">
        <x:v>Greedy</x:v>
      </x:c>
      <x:c r="C361" s="31" t="str">
        <x:v>Easy</x:v>
      </x:c>
      <x:c r="D361" s="31" t="str"/>
      <x:c r="E361" s="31" t="str">
        <x:v>No</x:v>
      </x:c>
      <x:c r="F361" s="31" t="str"/>
      <x:c r="G361" s="31" t="str"/>
      <x:c r="H361" s="31" t="str"/>
      <x:c r="I361" s="31" t="str"/>
      <x:c r="J361" s="31" t="str">
        <x:v>No</x:v>
      </x:c>
    </x:row>
    <x:row r="362">
      <x:c r="A362" s="31" t="str"/>
      <x:c r="B362" s="31" t="str">
        <x:v>Intervals</x:v>
      </x:c>
      <x:c r="C362" s="31" t="str">
        <x:v>Medium</x:v>
      </x:c>
      <x:c r="D362" s="31" t="str"/>
      <x:c r="E362" s="31" t="str">
        <x:v>No</x:v>
      </x:c>
      <x:c r="F362" s="31" t="str"/>
      <x:c r="G362" s="31" t="str"/>
      <x:c r="H362" s="31" t="str"/>
      <x:c r="I362" s="31" t="str"/>
      <x:c r="J362" s="31" t="str">
        <x:v>No</x:v>
      </x:c>
    </x:row>
    <x:row r="363">
      <x:c r="A363" s="31" t="str"/>
      <x:c r="B363" s="31" t="str">
        <x:v>Dynamic Programming</x:v>
      </x:c>
      <x:c r="C363" s="31" t="str">
        <x:v>Hard</x:v>
      </x:c>
      <x:c r="D363" s="31" t="str"/>
      <x:c r="E363" s="31" t="str">
        <x:v>No</x:v>
      </x:c>
      <x:c r="F363" s="31" t="str"/>
      <x:c r="G363" s="31" t="str"/>
      <x:c r="H363" s="31" t="str"/>
      <x:c r="I363" s="31" t="str"/>
      <x:c r="J363" s="31" t="str">
        <x:v>No</x:v>
      </x:c>
    </x:row>
    <x:row r="364">
      <x:c r="A364" s="31" t="str"/>
      <x:c r="B364" s="31" t="str">
        <x:v>Arrays</x:v>
      </x:c>
      <x:c r="C364" s="31" t="str">
        <x:v>Easy</x:v>
      </x:c>
      <x:c r="D364" s="31" t="str"/>
      <x:c r="E364" s="31" t="str">
        <x:v>No</x:v>
      </x:c>
      <x:c r="F364" s="31" t="str"/>
      <x:c r="G364" s="31" t="str"/>
      <x:c r="H364" s="31" t="str"/>
      <x:c r="I364" s="31" t="str"/>
      <x:c r="J364" s="31" t="str">
        <x:v>No</x:v>
      </x:c>
    </x:row>
    <x:row r="365">
      <x:c r="A365" s="31" t="str"/>
      <x:c r="B365" s="31" t="str">
        <x:v>Hashing</x:v>
      </x:c>
      <x:c r="C365" s="31" t="str">
        <x:v>Medium</x:v>
      </x:c>
      <x:c r="D365" s="31" t="str"/>
      <x:c r="E365" s="31" t="str">
        <x:v>No</x:v>
      </x:c>
      <x:c r="F365" s="31" t="str"/>
      <x:c r="G365" s="31" t="str"/>
      <x:c r="H365" s="31" t="str"/>
      <x:c r="I365" s="31" t="str"/>
      <x:c r="J365" s="31" t="str">
        <x:v>No</x:v>
      </x:c>
    </x:row>
    <x:row r="366">
      <x:c r="A366" s="31" t="str"/>
      <x:c r="B366" s="31" t="str">
        <x:v>Two Pointers</x:v>
      </x:c>
      <x:c r="C366" s="31" t="str">
        <x:v>Hard</x:v>
      </x:c>
      <x:c r="D366" s="31" t="str"/>
      <x:c r="E366" s="31" t="str">
        <x:v>No</x:v>
      </x:c>
      <x:c r="F366" s="31" t="str"/>
      <x:c r="G366" s="31" t="str"/>
      <x:c r="H366" s="31" t="str"/>
      <x:c r="I366" s="31" t="str"/>
      <x:c r="J366" s="31" t="str">
        <x:v>No</x:v>
      </x:c>
    </x:row>
    <x:row r="367">
      <x:c r="A367" s="31" t="str"/>
      <x:c r="B367" s="31" t="str">
        <x:v>Sliding Window</x:v>
      </x:c>
      <x:c r="C367" s="31" t="str">
        <x:v>Easy</x:v>
      </x:c>
      <x:c r="D367" s="31" t="str"/>
      <x:c r="E367" s="31" t="str">
        <x:v>No</x:v>
      </x:c>
      <x:c r="F367" s="31" t="str"/>
      <x:c r="G367" s="31" t="str"/>
      <x:c r="H367" s="31" t="str"/>
      <x:c r="I367" s="31" t="str"/>
      <x:c r="J367" s="31" t="str">
        <x:v>No</x:v>
      </x:c>
    </x:row>
    <x:row r="368">
      <x:c r="A368" s="31" t="str"/>
      <x:c r="B368" s="31" t="str">
        <x:v>Binary Search</x:v>
      </x:c>
      <x:c r="C368" s="31" t="str">
        <x:v>Medium</x:v>
      </x:c>
      <x:c r="D368" s="31" t="str"/>
      <x:c r="E368" s="31" t="str">
        <x:v>No</x:v>
      </x:c>
      <x:c r="F368" s="31" t="str"/>
      <x:c r="G368" s="31" t="str"/>
      <x:c r="H368" s="31" t="str"/>
      <x:c r="I368" s="31" t="str"/>
      <x:c r="J368" s="31" t="str">
        <x:v>No</x:v>
      </x:c>
    </x:row>
    <x:row r="369">
      <x:c r="A369" s="31" t="str"/>
      <x:c r="B369" s="31" t="str">
        <x:v>Stack</x:v>
      </x:c>
      <x:c r="C369" s="31" t="str">
        <x:v>Hard</x:v>
      </x:c>
      <x:c r="D369" s="31" t="str"/>
      <x:c r="E369" s="31" t="str">
        <x:v>No</x:v>
      </x:c>
      <x:c r="F369" s="31" t="str"/>
      <x:c r="G369" s="31" t="str"/>
      <x:c r="H369" s="31" t="str"/>
      <x:c r="I369" s="31" t="str"/>
      <x:c r="J369" s="31" t="str">
        <x:v>No</x:v>
      </x:c>
    </x:row>
    <x:row r="370">
      <x:c r="A370" s="31" t="str"/>
      <x:c r="B370" s="31" t="str">
        <x:v>Queue</x:v>
      </x:c>
      <x:c r="C370" s="31" t="str">
        <x:v>Easy</x:v>
      </x:c>
      <x:c r="D370" s="31" t="str"/>
      <x:c r="E370" s="31" t="str">
        <x:v>No</x:v>
      </x:c>
      <x:c r="F370" s="31" t="str"/>
      <x:c r="G370" s="31" t="str"/>
      <x:c r="H370" s="31" t="str"/>
      <x:c r="I370" s="31" t="str"/>
      <x:c r="J370" s="31" t="str">
        <x:v>No</x:v>
      </x:c>
    </x:row>
    <x:row r="371">
      <x:c r="A371" s="31" t="str"/>
      <x:c r="B371" s="31" t="str">
        <x:v>Linked List</x:v>
      </x:c>
      <x:c r="C371" s="31" t="str">
        <x:v>Medium</x:v>
      </x:c>
      <x:c r="D371" s="31" t="str"/>
      <x:c r="E371" s="31" t="str">
        <x:v>No</x:v>
      </x:c>
      <x:c r="F371" s="31" t="str"/>
      <x:c r="G371" s="31" t="str"/>
      <x:c r="H371" s="31" t="str"/>
      <x:c r="I371" s="31" t="str"/>
      <x:c r="J371" s="31" t="str">
        <x:v>No</x:v>
      </x:c>
    </x:row>
    <x:row r="372">
      <x:c r="A372" s="31" t="str"/>
      <x:c r="B372" s="31" t="str">
        <x:v>Trees</x:v>
      </x:c>
      <x:c r="C372" s="31" t="str">
        <x:v>Hard</x:v>
      </x:c>
      <x:c r="D372" s="31" t="str"/>
      <x:c r="E372" s="31" t="str">
        <x:v>No</x:v>
      </x:c>
      <x:c r="F372" s="31" t="str"/>
      <x:c r="G372" s="31" t="str"/>
      <x:c r="H372" s="31" t="str"/>
      <x:c r="I372" s="31" t="str"/>
      <x:c r="J372" s="31" t="str">
        <x:v>No</x:v>
      </x:c>
    </x:row>
    <x:row r="373">
      <x:c r="A373" s="31" t="str"/>
      <x:c r="B373" s="31" t="str">
        <x:v>BFS</x:v>
      </x:c>
      <x:c r="C373" s="31" t="str">
        <x:v>Easy</x:v>
      </x:c>
      <x:c r="D373" s="31" t="str"/>
      <x:c r="E373" s="31" t="str">
        <x:v>No</x:v>
      </x:c>
      <x:c r="F373" s="31" t="str"/>
      <x:c r="G373" s="31" t="str"/>
      <x:c r="H373" s="31" t="str"/>
      <x:c r="I373" s="31" t="str"/>
      <x:c r="J373" s="31" t="str">
        <x:v>No</x:v>
      </x:c>
    </x:row>
    <x:row r="374">
      <x:c r="A374" s="31" t="str"/>
      <x:c r="B374" s="31" t="str">
        <x:v>DFS</x:v>
      </x:c>
      <x:c r="C374" s="31" t="str">
        <x:v>Medium</x:v>
      </x:c>
      <x:c r="D374" s="31" t="str"/>
      <x:c r="E374" s="31" t="str">
        <x:v>No</x:v>
      </x:c>
      <x:c r="F374" s="31" t="str"/>
      <x:c r="G374" s="31" t="str"/>
      <x:c r="H374" s="31" t="str"/>
      <x:c r="I374" s="31" t="str"/>
      <x:c r="J374" s="31" t="str">
        <x:v>No</x:v>
      </x:c>
    </x:row>
    <x:row r="375">
      <x:c r="A375" s="31" t="str"/>
      <x:c r="B375" s="31" t="str">
        <x:v>Backtracking</x:v>
      </x:c>
      <x:c r="C375" s="31" t="str">
        <x:v>Hard</x:v>
      </x:c>
      <x:c r="D375" s="31" t="str"/>
      <x:c r="E375" s="31" t="str">
        <x:v>No</x:v>
      </x:c>
      <x:c r="F375" s="31" t="str"/>
      <x:c r="G375" s="31" t="str"/>
      <x:c r="H375" s="31" t="str"/>
      <x:c r="I375" s="31" t="str"/>
      <x:c r="J375" s="31" t="str">
        <x:v>No</x:v>
      </x:c>
    </x:row>
    <x:row r="376">
      <x:c r="A376" s="31" t="str"/>
      <x:c r="B376" s="31" t="str">
        <x:v>Heap</x:v>
      </x:c>
      <x:c r="C376" s="31" t="str">
        <x:v>Easy</x:v>
      </x:c>
      <x:c r="D376" s="31" t="str"/>
      <x:c r="E376" s="31" t="str">
        <x:v>No</x:v>
      </x:c>
      <x:c r="F376" s="31" t="str"/>
      <x:c r="G376" s="31" t="str"/>
      <x:c r="H376" s="31" t="str"/>
      <x:c r="I376" s="31" t="str"/>
      <x:c r="J376" s="31" t="str">
        <x:v>No</x:v>
      </x:c>
    </x:row>
    <x:row r="377">
      <x:c r="A377" s="31" t="str"/>
      <x:c r="B377" s="31" t="str">
        <x:v>Graphs</x:v>
      </x:c>
      <x:c r="C377" s="31" t="str">
        <x:v>Medium</x:v>
      </x:c>
      <x:c r="D377" s="31" t="str"/>
      <x:c r="E377" s="31" t="str">
        <x:v>No</x:v>
      </x:c>
      <x:c r="F377" s="31" t="str"/>
      <x:c r="G377" s="31" t="str"/>
      <x:c r="H377" s="31" t="str"/>
      <x:c r="I377" s="31" t="str"/>
      <x:c r="J377" s="31" t="str">
        <x:v>No</x:v>
      </x:c>
    </x:row>
    <x:row r="378">
      <x:c r="A378" s="31" t="str"/>
      <x:c r="B378" s="31" t="str">
        <x:v>Topological Sort</x:v>
      </x:c>
      <x:c r="C378" s="31" t="str">
        <x:v>Hard</x:v>
      </x:c>
      <x:c r="D378" s="31" t="str"/>
      <x:c r="E378" s="31" t="str">
        <x:v>No</x:v>
      </x:c>
      <x:c r="F378" s="31" t="str"/>
      <x:c r="G378" s="31" t="str"/>
      <x:c r="H378" s="31" t="str"/>
      <x:c r="I378" s="31" t="str"/>
      <x:c r="J378" s="31" t="str">
        <x:v>No</x:v>
      </x:c>
    </x:row>
    <x:row r="379">
      <x:c r="A379" s="31" t="str"/>
      <x:c r="B379" s="31" t="str">
        <x:v>Union-Find</x:v>
      </x:c>
      <x:c r="C379" s="31" t="str">
        <x:v>Easy</x:v>
      </x:c>
      <x:c r="D379" s="31" t="str"/>
      <x:c r="E379" s="31" t="str">
        <x:v>No</x:v>
      </x:c>
      <x:c r="F379" s="31" t="str"/>
      <x:c r="G379" s="31" t="str"/>
      <x:c r="H379" s="31" t="str"/>
      <x:c r="I379" s="31" t="str"/>
      <x:c r="J379" s="31" t="str">
        <x:v>No</x:v>
      </x:c>
    </x:row>
    <x:row r="380">
      <x:c r="A380" s="31" t="str"/>
      <x:c r="B380" s="31" t="str">
        <x:v>Trie</x:v>
      </x:c>
      <x:c r="C380" s="31" t="str">
        <x:v>Medium</x:v>
      </x:c>
      <x:c r="D380" s="31" t="str"/>
      <x:c r="E380" s="31" t="str">
        <x:v>No</x:v>
      </x:c>
      <x:c r="F380" s="31" t="str"/>
      <x:c r="G380" s="31" t="str"/>
      <x:c r="H380" s="31" t="str"/>
      <x:c r="I380" s="31" t="str"/>
      <x:c r="J380" s="31" t="str">
        <x:v>No</x:v>
      </x:c>
    </x:row>
    <x:row r="381">
      <x:c r="A381" s="31" t="str"/>
      <x:c r="B381" s="31" t="str">
        <x:v>Greedy</x:v>
      </x:c>
      <x:c r="C381" s="31" t="str">
        <x:v>Hard</x:v>
      </x:c>
      <x:c r="D381" s="31" t="str"/>
      <x:c r="E381" s="31" t="str">
        <x:v>No</x:v>
      </x:c>
      <x:c r="F381" s="31" t="str"/>
      <x:c r="G381" s="31" t="str"/>
      <x:c r="H381" s="31" t="str"/>
      <x:c r="I381" s="31" t="str"/>
      <x:c r="J381" s="31" t="str">
        <x:v>No</x:v>
      </x:c>
    </x:row>
    <x:row r="382">
      <x:c r="A382" s="31" t="str"/>
      <x:c r="B382" s="31" t="str">
        <x:v>Intervals</x:v>
      </x:c>
      <x:c r="C382" s="31" t="str">
        <x:v>Easy</x:v>
      </x:c>
      <x:c r="D382" s="31" t="str"/>
      <x:c r="E382" s="31" t="str">
        <x:v>No</x:v>
      </x:c>
      <x:c r="F382" s="31" t="str"/>
      <x:c r="G382" s="31" t="str"/>
      <x:c r="H382" s="31" t="str"/>
      <x:c r="I382" s="31" t="str"/>
      <x:c r="J382" s="31" t="str">
        <x:v>No</x:v>
      </x:c>
    </x:row>
    <x:row r="383">
      <x:c r="A383" s="31" t="str"/>
      <x:c r="B383" s="31" t="str">
        <x:v>Dynamic Programming</x:v>
      </x:c>
      <x:c r="C383" s="31" t="str">
        <x:v>Medium</x:v>
      </x:c>
      <x:c r="D383" s="31" t="str"/>
      <x:c r="E383" s="31" t="str">
        <x:v>No</x:v>
      </x:c>
      <x:c r="F383" s="31" t="str"/>
      <x:c r="G383" s="31" t="str"/>
      <x:c r="H383" s="31" t="str"/>
      <x:c r="I383" s="31" t="str"/>
      <x:c r="J383" s="31" t="str">
        <x:v>No</x:v>
      </x:c>
    </x:row>
    <x:row r="384">
      <x:c r="A384" s="31" t="str"/>
      <x:c r="B384" s="31" t="str">
        <x:v>Arrays</x:v>
      </x:c>
      <x:c r="C384" s="31" t="str">
        <x:v>Hard</x:v>
      </x:c>
      <x:c r="D384" s="31" t="str"/>
      <x:c r="E384" s="31" t="str">
        <x:v>No</x:v>
      </x:c>
      <x:c r="F384" s="31" t="str"/>
      <x:c r="G384" s="31" t="str"/>
      <x:c r="H384" s="31" t="str"/>
      <x:c r="I384" s="31" t="str"/>
      <x:c r="J384" s="31" t="str">
        <x:v>No</x:v>
      </x:c>
    </x:row>
    <x:row r="385">
      <x:c r="A385" s="31" t="str"/>
      <x:c r="B385" s="31" t="str">
        <x:v>Hashing</x:v>
      </x:c>
      <x:c r="C385" s="31" t="str">
        <x:v>Easy</x:v>
      </x:c>
      <x:c r="D385" s="31" t="str"/>
      <x:c r="E385" s="31" t="str">
        <x:v>No</x:v>
      </x:c>
      <x:c r="F385" s="31" t="str"/>
      <x:c r="G385" s="31" t="str"/>
      <x:c r="H385" s="31" t="str"/>
      <x:c r="I385" s="31" t="str"/>
      <x:c r="J385" s="31" t="str">
        <x:v>No</x:v>
      </x:c>
    </x:row>
    <x:row r="386">
      <x:c r="A386" s="31" t="str"/>
      <x:c r="B386" s="31" t="str">
        <x:v>Two Pointers</x:v>
      </x:c>
      <x:c r="C386" s="31" t="str">
        <x:v>Medium</x:v>
      </x:c>
      <x:c r="D386" s="31" t="str"/>
      <x:c r="E386" s="31" t="str">
        <x:v>No</x:v>
      </x:c>
      <x:c r="F386" s="31" t="str"/>
      <x:c r="G386" s="31" t="str"/>
      <x:c r="H386" s="31" t="str"/>
      <x:c r="I386" s="31" t="str"/>
      <x:c r="J386" s="31" t="str">
        <x:v>No</x:v>
      </x:c>
    </x:row>
    <x:row r="387">
      <x:c r="A387" s="31" t="str"/>
      <x:c r="B387" s="31" t="str">
        <x:v>Sliding Window</x:v>
      </x:c>
      <x:c r="C387" s="31" t="str">
        <x:v>Hard</x:v>
      </x:c>
      <x:c r="D387" s="31" t="str"/>
      <x:c r="E387" s="31" t="str">
        <x:v>No</x:v>
      </x:c>
      <x:c r="F387" s="31" t="str"/>
      <x:c r="G387" s="31" t="str"/>
      <x:c r="H387" s="31" t="str"/>
      <x:c r="I387" s="31" t="str"/>
      <x:c r="J387" s="31" t="str">
        <x:v>No</x:v>
      </x:c>
    </x:row>
    <x:row r="388">
      <x:c r="A388" s="31" t="str"/>
      <x:c r="B388" s="31" t="str">
        <x:v>Binary Search</x:v>
      </x:c>
      <x:c r="C388" s="31" t="str">
        <x:v>Easy</x:v>
      </x:c>
      <x:c r="D388" s="31" t="str"/>
      <x:c r="E388" s="31" t="str">
        <x:v>No</x:v>
      </x:c>
      <x:c r="F388" s="31" t="str"/>
      <x:c r="G388" s="31" t="str"/>
      <x:c r="H388" s="31" t="str"/>
      <x:c r="I388" s="31" t="str"/>
      <x:c r="J388" s="31" t="str">
        <x:v>No</x:v>
      </x:c>
    </x:row>
    <x:row r="389">
      <x:c r="A389" s="31" t="str"/>
      <x:c r="B389" s="31" t="str">
        <x:v>Stack</x:v>
      </x:c>
      <x:c r="C389" s="31" t="str">
        <x:v>Medium</x:v>
      </x:c>
      <x:c r="D389" s="31" t="str"/>
      <x:c r="E389" s="31" t="str">
        <x:v>No</x:v>
      </x:c>
      <x:c r="F389" s="31" t="str"/>
      <x:c r="G389" s="31" t="str"/>
      <x:c r="H389" s="31" t="str"/>
      <x:c r="I389" s="31" t="str"/>
      <x:c r="J389" s="31" t="str">
        <x:v>No</x:v>
      </x:c>
    </x:row>
    <x:row r="390">
      <x:c r="A390" s="31" t="str"/>
      <x:c r="B390" s="31" t="str">
        <x:v>Queue</x:v>
      </x:c>
      <x:c r="C390" s="31" t="str">
        <x:v>Hard</x:v>
      </x:c>
      <x:c r="D390" s="31" t="str"/>
      <x:c r="E390" s="31" t="str">
        <x:v>No</x:v>
      </x:c>
      <x:c r="F390" s="31" t="str"/>
      <x:c r="G390" s="31" t="str"/>
      <x:c r="H390" s="31" t="str"/>
      <x:c r="I390" s="31" t="str"/>
      <x:c r="J390" s="31" t="str">
        <x:v>No</x:v>
      </x:c>
    </x:row>
    <x:row r="391">
      <x:c r="A391" s="31" t="str"/>
      <x:c r="B391" s="31" t="str">
        <x:v>Linked List</x:v>
      </x:c>
      <x:c r="C391" s="31" t="str">
        <x:v>Easy</x:v>
      </x:c>
      <x:c r="D391" s="31" t="str"/>
      <x:c r="E391" s="31" t="str">
        <x:v>No</x:v>
      </x:c>
      <x:c r="F391" s="31" t="str"/>
      <x:c r="G391" s="31" t="str"/>
      <x:c r="H391" s="31" t="str"/>
      <x:c r="I391" s="31" t="str"/>
      <x:c r="J391" s="31" t="str">
        <x:v>No</x:v>
      </x:c>
    </x:row>
    <x:row r="392">
      <x:c r="A392" s="31" t="str"/>
      <x:c r="B392" s="31" t="str">
        <x:v>Trees</x:v>
      </x:c>
      <x:c r="C392" s="31" t="str">
        <x:v>Medium</x:v>
      </x:c>
      <x:c r="D392" s="31" t="str"/>
      <x:c r="E392" s="31" t="str">
        <x:v>No</x:v>
      </x:c>
      <x:c r="F392" s="31" t="str"/>
      <x:c r="G392" s="31" t="str"/>
      <x:c r="H392" s="31" t="str"/>
      <x:c r="I392" s="31" t="str"/>
      <x:c r="J392" s="31" t="str">
        <x:v>No</x:v>
      </x:c>
    </x:row>
    <x:row r="393">
      <x:c r="A393" s="31" t="str"/>
      <x:c r="B393" s="31" t="str">
        <x:v>BFS</x:v>
      </x:c>
      <x:c r="C393" s="31" t="str">
        <x:v>Hard</x:v>
      </x:c>
      <x:c r="D393" s="31" t="str"/>
      <x:c r="E393" s="31" t="str">
        <x:v>No</x:v>
      </x:c>
      <x:c r="F393" s="31" t="str"/>
      <x:c r="G393" s="31" t="str"/>
      <x:c r="H393" s="31" t="str"/>
      <x:c r="I393" s="31" t="str"/>
      <x:c r="J393" s="31" t="str">
        <x:v>No</x:v>
      </x:c>
    </x:row>
    <x:row r="394">
      <x:c r="A394" s="31" t="str"/>
      <x:c r="B394" s="31" t="str">
        <x:v>DFS</x:v>
      </x:c>
      <x:c r="C394" s="31" t="str">
        <x:v>Easy</x:v>
      </x:c>
      <x:c r="D394" s="31" t="str"/>
      <x:c r="E394" s="31" t="str">
        <x:v>No</x:v>
      </x:c>
      <x:c r="F394" s="31" t="str"/>
      <x:c r="G394" s="31" t="str"/>
      <x:c r="H394" s="31" t="str"/>
      <x:c r="I394" s="31" t="str"/>
      <x:c r="J394" s="31" t="str">
        <x:v>No</x:v>
      </x:c>
    </x:row>
    <x:row r="395">
      <x:c r="A395" s="31" t="str"/>
      <x:c r="B395" s="31" t="str">
        <x:v>Backtracking</x:v>
      </x:c>
      <x:c r="C395" s="31" t="str">
        <x:v>Medium</x:v>
      </x:c>
      <x:c r="D395" s="31" t="str"/>
      <x:c r="E395" s="31" t="str">
        <x:v>No</x:v>
      </x:c>
      <x:c r="F395" s="31" t="str"/>
      <x:c r="G395" s="31" t="str"/>
      <x:c r="H395" s="31" t="str"/>
      <x:c r="I395" s="31" t="str"/>
      <x:c r="J395" s="31" t="str">
        <x:v>No</x:v>
      </x:c>
    </x:row>
    <x:row r="396">
      <x:c r="A396" s="31" t="str"/>
      <x:c r="B396" s="31" t="str">
        <x:v>Heap</x:v>
      </x:c>
      <x:c r="C396" s="31" t="str">
        <x:v>Hard</x:v>
      </x:c>
      <x:c r="D396" s="31" t="str"/>
      <x:c r="E396" s="31" t="str">
        <x:v>No</x:v>
      </x:c>
      <x:c r="F396" s="31" t="str"/>
      <x:c r="G396" s="31" t="str"/>
      <x:c r="H396" s="31" t="str"/>
      <x:c r="I396" s="31" t="str"/>
      <x:c r="J396" s="31" t="str">
        <x:v>No</x:v>
      </x:c>
    </x:row>
    <x:row r="397">
      <x:c r="A397" s="31" t="str"/>
      <x:c r="B397" s="31" t="str">
        <x:v>Graphs</x:v>
      </x:c>
      <x:c r="C397" s="31" t="str">
        <x:v>Easy</x:v>
      </x:c>
      <x:c r="D397" s="31" t="str"/>
      <x:c r="E397" s="31" t="str">
        <x:v>No</x:v>
      </x:c>
      <x:c r="F397" s="31" t="str"/>
      <x:c r="G397" s="31" t="str"/>
      <x:c r="H397" s="31" t="str"/>
      <x:c r="I397" s="31" t="str"/>
      <x:c r="J397" s="31" t="str">
        <x:v>No</x:v>
      </x:c>
    </x:row>
    <x:row r="398">
      <x:c r="A398" s="31" t="str"/>
      <x:c r="B398" s="31" t="str">
        <x:v>Topological Sort</x:v>
      </x:c>
      <x:c r="C398" s="31" t="str">
        <x:v>Medium</x:v>
      </x:c>
      <x:c r="D398" s="31" t="str"/>
      <x:c r="E398" s="31" t="str">
        <x:v>No</x:v>
      </x:c>
      <x:c r="F398" s="31" t="str"/>
      <x:c r="G398" s="31" t="str"/>
      <x:c r="H398" s="31" t="str"/>
      <x:c r="I398" s="31" t="str"/>
      <x:c r="J398" s="31" t="str">
        <x:v>No</x:v>
      </x:c>
    </x:row>
    <x:row r="399">
      <x:c r="A399" s="31" t="str"/>
      <x:c r="B399" s="31" t="str">
        <x:v>Union-Find</x:v>
      </x:c>
      <x:c r="C399" s="31" t="str">
        <x:v>Hard</x:v>
      </x:c>
      <x:c r="D399" s="31" t="str"/>
      <x:c r="E399" s="31" t="str">
        <x:v>No</x:v>
      </x:c>
      <x:c r="F399" s="31" t="str"/>
      <x:c r="G399" s="31" t="str"/>
      <x:c r="H399" s="31" t="str"/>
      <x:c r="I399" s="31" t="str"/>
      <x:c r="J399" s="31" t="str">
        <x:v>No</x:v>
      </x:c>
    </x:row>
    <x:row r="400">
      <x:c r="A400" s="31" t="str"/>
      <x:c r="B400" s="31" t="str">
        <x:v>Trie</x:v>
      </x:c>
      <x:c r="C400" s="31" t="str">
        <x:v>Easy</x:v>
      </x:c>
      <x:c r="D400" s="31" t="str"/>
      <x:c r="E400" s="31" t="str">
        <x:v>No</x:v>
      </x:c>
      <x:c r="F400" s="31" t="str"/>
      <x:c r="G400" s="31" t="str"/>
      <x:c r="H400" s="31" t="str"/>
      <x:c r="I400" s="31" t="str"/>
      <x:c r="J400" s="31" t="str">
        <x:v>No</x:v>
      </x:c>
    </x:row>
    <x:row r="401">
      <x:c r="A401" s="31" t="str"/>
      <x:c r="B401" s="31" t="str">
        <x:v>Greedy</x:v>
      </x:c>
      <x:c r="C401" s="31" t="str">
        <x:v>Medium</x:v>
      </x:c>
      <x:c r="D401" s="31" t="str"/>
      <x:c r="E401" s="31" t="str">
        <x:v>No</x:v>
      </x:c>
      <x:c r="F401" s="31" t="str"/>
      <x:c r="G401" s="31" t="str"/>
      <x:c r="H401" s="31" t="str"/>
      <x:c r="I401" s="31" t="str"/>
      <x:c r="J401" s="31" t="str">
        <x:v>No</x:v>
      </x:c>
    </x:row>
    <x:row r="402">
      <x:c r="A402" s="31" t="str"/>
      <x:c r="B402" s="31" t="str">
        <x:v>Intervals</x:v>
      </x:c>
      <x:c r="C402" s="31" t="str">
        <x:v>Hard</x:v>
      </x:c>
      <x:c r="D402" s="31" t="str"/>
      <x:c r="E402" s="31" t="str">
        <x:v>No</x:v>
      </x:c>
      <x:c r="F402" s="31" t="str"/>
      <x:c r="G402" s="31" t="str"/>
      <x:c r="H402" s="31" t="str"/>
      <x:c r="I402" s="31" t="str"/>
      <x:c r="J402" s="31" t="str">
        <x:v>No</x:v>
      </x:c>
    </x:row>
    <x:row r="403">
      <x:c r="A403" s="31" t="str"/>
      <x:c r="B403" s="31" t="str">
        <x:v>Dynamic Programming</x:v>
      </x:c>
      <x:c r="C403" s="31" t="str">
        <x:v>Easy</x:v>
      </x:c>
      <x:c r="D403" s="31" t="str"/>
      <x:c r="E403" s="31" t="str">
        <x:v>No</x:v>
      </x:c>
      <x:c r="F403" s="31" t="str"/>
      <x:c r="G403" s="31" t="str"/>
      <x:c r="H403" s="31" t="str"/>
      <x:c r="I403" s="31" t="str"/>
      <x:c r="J403" s="31" t="str">
        <x:v>No</x:v>
      </x:c>
    </x:row>
    <x:row r="404">
      <x:c r="A404" s="31" t="str"/>
      <x:c r="B404" s="31" t="str">
        <x:v>Arrays</x:v>
      </x:c>
      <x:c r="C404" s="31" t="str">
        <x:v>Medium</x:v>
      </x:c>
      <x:c r="D404" s="31" t="str"/>
      <x:c r="E404" s="31" t="str">
        <x:v>No</x:v>
      </x:c>
      <x:c r="F404" s="31" t="str"/>
      <x:c r="G404" s="31" t="str"/>
      <x:c r="H404" s="31" t="str"/>
      <x:c r="I404" s="31" t="str"/>
      <x:c r="J404" s="31" t="str">
        <x:v>No</x:v>
      </x:c>
    </x:row>
    <x:row r="405">
      <x:c r="A405" s="31" t="str"/>
      <x:c r="B405" s="31" t="str">
        <x:v>Hashing</x:v>
      </x:c>
      <x:c r="C405" s="31" t="str">
        <x:v>Hard</x:v>
      </x:c>
      <x:c r="D405" s="31" t="str"/>
      <x:c r="E405" s="31" t="str">
        <x:v>No</x:v>
      </x:c>
      <x:c r="F405" s="31" t="str"/>
      <x:c r="G405" s="31" t="str"/>
      <x:c r="H405" s="31" t="str"/>
      <x:c r="I405" s="31" t="str"/>
      <x:c r="J405" s="31" t="str">
        <x:v>No</x:v>
      </x:c>
    </x:row>
    <x:row r="406">
      <x:c r="A406" s="31" t="str"/>
      <x:c r="B406" s="31" t="str">
        <x:v>Two Pointers</x:v>
      </x:c>
      <x:c r="C406" s="31" t="str">
        <x:v>Easy</x:v>
      </x:c>
      <x:c r="D406" s="31" t="str"/>
      <x:c r="E406" s="31" t="str">
        <x:v>No</x:v>
      </x:c>
      <x:c r="F406" s="31" t="str"/>
      <x:c r="G406" s="31" t="str"/>
      <x:c r="H406" s="31" t="str"/>
      <x:c r="I406" s="31" t="str"/>
      <x:c r="J406" s="31" t="str">
        <x:v>No</x:v>
      </x:c>
    </x:row>
    <x:row r="407">
      <x:c r="A407" s="31" t="str"/>
      <x:c r="B407" s="31" t="str">
        <x:v>Sliding Window</x:v>
      </x:c>
      <x:c r="C407" s="31" t="str">
        <x:v>Medium</x:v>
      </x:c>
      <x:c r="D407" s="31" t="str"/>
      <x:c r="E407" s="31" t="str">
        <x:v>No</x:v>
      </x:c>
      <x:c r="F407" s="31" t="str"/>
      <x:c r="G407" s="31" t="str"/>
      <x:c r="H407" s="31" t="str"/>
      <x:c r="I407" s="31" t="str"/>
      <x:c r="J407" s="31" t="str">
        <x:v>No</x:v>
      </x:c>
    </x:row>
    <x:row r="408">
      <x:c r="A408" s="31" t="str"/>
      <x:c r="B408" s="31" t="str">
        <x:v>Binary Search</x:v>
      </x:c>
      <x:c r="C408" s="31" t="str">
        <x:v>Hard</x:v>
      </x:c>
      <x:c r="D408" s="31" t="str"/>
      <x:c r="E408" s="31" t="str">
        <x:v>No</x:v>
      </x:c>
      <x:c r="F408" s="31" t="str"/>
      <x:c r="G408" s="31" t="str"/>
      <x:c r="H408" s="31" t="str"/>
      <x:c r="I408" s="31" t="str"/>
      <x:c r="J408" s="31" t="str">
        <x:v>No</x:v>
      </x:c>
    </x:row>
    <x:row r="409">
      <x:c r="A409" s="31" t="str"/>
      <x:c r="B409" s="31" t="str">
        <x:v>Stack</x:v>
      </x:c>
      <x:c r="C409" s="31" t="str">
        <x:v>Easy</x:v>
      </x:c>
      <x:c r="D409" s="31" t="str"/>
      <x:c r="E409" s="31" t="str">
        <x:v>No</x:v>
      </x:c>
      <x:c r="F409" s="31" t="str"/>
      <x:c r="G409" s="31" t="str"/>
      <x:c r="H409" s="31" t="str"/>
      <x:c r="I409" s="31" t="str"/>
      <x:c r="J409" s="31" t="str">
        <x:v>No</x:v>
      </x:c>
    </x:row>
    <x:row r="410">
      <x:c r="A410" s="31" t="str"/>
      <x:c r="B410" s="31" t="str">
        <x:v>Queue</x:v>
      </x:c>
      <x:c r="C410" s="31" t="str">
        <x:v>Medium</x:v>
      </x:c>
      <x:c r="D410" s="31" t="str"/>
      <x:c r="E410" s="31" t="str">
        <x:v>No</x:v>
      </x:c>
      <x:c r="F410" s="31" t="str"/>
      <x:c r="G410" s="31" t="str"/>
      <x:c r="H410" s="31" t="str"/>
      <x:c r="I410" s="31" t="str"/>
      <x:c r="J410" s="31" t="str">
        <x:v>No</x:v>
      </x:c>
    </x:row>
    <x:row r="411">
      <x:c r="A411" s="31" t="str"/>
      <x:c r="B411" s="31" t="str">
        <x:v>Linked List</x:v>
      </x:c>
      <x:c r="C411" s="31" t="str">
        <x:v>Hard</x:v>
      </x:c>
      <x:c r="D411" s="31" t="str"/>
      <x:c r="E411" s="31" t="str">
        <x:v>No</x:v>
      </x:c>
      <x:c r="F411" s="31" t="str"/>
      <x:c r="G411" s="31" t="str"/>
      <x:c r="H411" s="31" t="str"/>
      <x:c r="I411" s="31" t="str"/>
      <x:c r="J411" s="31" t="str">
        <x:v>No</x:v>
      </x:c>
    </x:row>
    <x:row r="412">
      <x:c r="A412" s="31" t="str"/>
      <x:c r="B412" s="31" t="str">
        <x:v>Trees</x:v>
      </x:c>
      <x:c r="C412" s="31" t="str">
        <x:v>Easy</x:v>
      </x:c>
      <x:c r="D412" s="31" t="str"/>
      <x:c r="E412" s="31" t="str">
        <x:v>No</x:v>
      </x:c>
      <x:c r="F412" s="31" t="str"/>
      <x:c r="G412" s="31" t="str"/>
      <x:c r="H412" s="31" t="str"/>
      <x:c r="I412" s="31" t="str"/>
      <x:c r="J412" s="31" t="str">
        <x:v>No</x:v>
      </x:c>
    </x:row>
    <x:row r="413">
      <x:c r="A413" s="31" t="str"/>
      <x:c r="B413" s="31" t="str">
        <x:v>BFS</x:v>
      </x:c>
      <x:c r="C413" s="31" t="str">
        <x:v>Medium</x:v>
      </x:c>
      <x:c r="D413" s="31" t="str"/>
      <x:c r="E413" s="31" t="str">
        <x:v>No</x:v>
      </x:c>
      <x:c r="F413" s="31" t="str"/>
      <x:c r="G413" s="31" t="str"/>
      <x:c r="H413" s="31" t="str"/>
      <x:c r="I413" s="31" t="str"/>
      <x:c r="J413" s="31" t="str">
        <x:v>No</x:v>
      </x:c>
    </x:row>
    <x:row r="414">
      <x:c r="A414" s="31" t="str"/>
      <x:c r="B414" s="31" t="str">
        <x:v>DFS</x:v>
      </x:c>
      <x:c r="C414" s="31" t="str">
        <x:v>Hard</x:v>
      </x:c>
      <x:c r="D414" s="31" t="str"/>
      <x:c r="E414" s="31" t="str">
        <x:v>No</x:v>
      </x:c>
      <x:c r="F414" s="31" t="str"/>
      <x:c r="G414" s="31" t="str"/>
      <x:c r="H414" s="31" t="str"/>
      <x:c r="I414" s="31" t="str"/>
      <x:c r="J414" s="31" t="str">
        <x:v>No</x:v>
      </x:c>
    </x:row>
    <x:row r="415">
      <x:c r="A415" s="31" t="str"/>
      <x:c r="B415" s="31" t="str">
        <x:v>Backtracking</x:v>
      </x:c>
      <x:c r="C415" s="31" t="str">
        <x:v>Easy</x:v>
      </x:c>
      <x:c r="D415" s="31" t="str"/>
      <x:c r="E415" s="31" t="str">
        <x:v>No</x:v>
      </x:c>
      <x:c r="F415" s="31" t="str"/>
      <x:c r="G415" s="31" t="str"/>
      <x:c r="H415" s="31" t="str"/>
      <x:c r="I415" s="31" t="str"/>
      <x:c r="J415" s="31" t="str">
        <x:v>No</x:v>
      </x:c>
    </x:row>
    <x:row r="416">
      <x:c r="A416" s="31" t="str"/>
      <x:c r="B416" s="31" t="str">
        <x:v>Heap</x:v>
      </x:c>
      <x:c r="C416" s="31" t="str">
        <x:v>Medium</x:v>
      </x:c>
      <x:c r="D416" s="31" t="str"/>
      <x:c r="E416" s="31" t="str">
        <x:v>No</x:v>
      </x:c>
      <x:c r="F416" s="31" t="str"/>
      <x:c r="G416" s="31" t="str"/>
      <x:c r="H416" s="31" t="str"/>
      <x:c r="I416" s="31" t="str"/>
      <x:c r="J416" s="31" t="str">
        <x:v>No</x:v>
      </x:c>
    </x:row>
    <x:row r="417">
      <x:c r="A417" s="31" t="str"/>
      <x:c r="B417" s="31" t="str">
        <x:v>Graphs</x:v>
      </x:c>
      <x:c r="C417" s="31" t="str">
        <x:v>Hard</x:v>
      </x:c>
      <x:c r="D417" s="31" t="str"/>
      <x:c r="E417" s="31" t="str">
        <x:v>No</x:v>
      </x:c>
      <x:c r="F417" s="31" t="str"/>
      <x:c r="G417" s="31" t="str"/>
      <x:c r="H417" s="31" t="str"/>
      <x:c r="I417" s="31" t="str"/>
      <x:c r="J417" s="31" t="str">
        <x:v>No</x:v>
      </x:c>
    </x:row>
    <x:row r="418">
      <x:c r="A418" s="31" t="str"/>
      <x:c r="B418" s="31" t="str">
        <x:v>Topological Sort</x:v>
      </x:c>
      <x:c r="C418" s="31" t="str">
        <x:v>Easy</x:v>
      </x:c>
      <x:c r="D418" s="31" t="str"/>
      <x:c r="E418" s="31" t="str">
        <x:v>No</x:v>
      </x:c>
      <x:c r="F418" s="31" t="str"/>
      <x:c r="G418" s="31" t="str"/>
      <x:c r="H418" s="31" t="str"/>
      <x:c r="I418" s="31" t="str"/>
      <x:c r="J418" s="31" t="str">
        <x:v>No</x:v>
      </x:c>
    </x:row>
    <x:row r="419">
      <x:c r="A419" s="31" t="str"/>
      <x:c r="B419" s="31" t="str">
        <x:v>Union-Find</x:v>
      </x:c>
      <x:c r="C419" s="31" t="str">
        <x:v>Medium</x:v>
      </x:c>
      <x:c r="D419" s="31" t="str"/>
      <x:c r="E419" s="31" t="str">
        <x:v>No</x:v>
      </x:c>
      <x:c r="F419" s="31" t="str"/>
      <x:c r="G419" s="31" t="str"/>
      <x:c r="H419" s="31" t="str"/>
      <x:c r="I419" s="31" t="str"/>
      <x:c r="J419" s="31" t="str">
        <x:v>No</x:v>
      </x:c>
    </x:row>
    <x:row r="420">
      <x:c r="A420" s="31" t="str"/>
      <x:c r="B420" s="31" t="str">
        <x:v>Trie</x:v>
      </x:c>
      <x:c r="C420" s="31" t="str">
        <x:v>Hard</x:v>
      </x:c>
      <x:c r="D420" s="31" t="str"/>
      <x:c r="E420" s="31" t="str">
        <x:v>No</x:v>
      </x:c>
      <x:c r="F420" s="31" t="str"/>
      <x:c r="G420" s="31" t="str"/>
      <x:c r="H420" s="31" t="str"/>
      <x:c r="I420" s="31" t="str"/>
      <x:c r="J420" s="31" t="str">
        <x:v>No</x:v>
      </x:c>
    </x:row>
    <x:row r="421">
      <x:c r="A421" s="31" t="str"/>
      <x:c r="B421" s="31" t="str">
        <x:v>Greedy</x:v>
      </x:c>
      <x:c r="C421" s="31" t="str">
        <x:v>Easy</x:v>
      </x:c>
      <x:c r="D421" s="31" t="str"/>
      <x:c r="E421" s="31" t="str">
        <x:v>No</x:v>
      </x:c>
      <x:c r="F421" s="31" t="str"/>
      <x:c r="G421" s="31" t="str"/>
      <x:c r="H421" s="31" t="str"/>
      <x:c r="I421" s="31" t="str"/>
      <x:c r="J421" s="31" t="str">
        <x:v>No</x:v>
      </x:c>
    </x:row>
    <x:row r="422">
      <x:c r="A422" s="31" t="str"/>
      <x:c r="B422" s="31" t="str">
        <x:v>Intervals</x:v>
      </x:c>
      <x:c r="C422" s="31" t="str">
        <x:v>Medium</x:v>
      </x:c>
      <x:c r="D422" s="31" t="str"/>
      <x:c r="E422" s="31" t="str">
        <x:v>No</x:v>
      </x:c>
      <x:c r="F422" s="31" t="str"/>
      <x:c r="G422" s="31" t="str"/>
      <x:c r="H422" s="31" t="str"/>
      <x:c r="I422" s="31" t="str"/>
      <x:c r="J422" s="31" t="str">
        <x:v>No</x:v>
      </x:c>
    </x:row>
    <x:row r="423">
      <x:c r="A423" s="31" t="str"/>
      <x:c r="B423" s="31" t="str">
        <x:v>Dynamic Programming</x:v>
      </x:c>
      <x:c r="C423" s="31" t="str">
        <x:v>Hard</x:v>
      </x:c>
      <x:c r="D423" s="31" t="str"/>
      <x:c r="E423" s="31" t="str">
        <x:v>No</x:v>
      </x:c>
      <x:c r="F423" s="31" t="str"/>
      <x:c r="G423" s="31" t="str"/>
      <x:c r="H423" s="31" t="str"/>
      <x:c r="I423" s="31" t="str"/>
      <x:c r="J423" s="31" t="str">
        <x:v>No</x:v>
      </x:c>
    </x:row>
    <x:row r="424">
      <x:c r="A424" s="31" t="str"/>
      <x:c r="B424" s="31" t="str">
        <x:v>Arrays</x:v>
      </x:c>
      <x:c r="C424" s="31" t="str">
        <x:v>Easy</x:v>
      </x:c>
      <x:c r="D424" s="31" t="str"/>
      <x:c r="E424" s="31" t="str">
        <x:v>No</x:v>
      </x:c>
      <x:c r="F424" s="31" t="str"/>
      <x:c r="G424" s="31" t="str"/>
      <x:c r="H424" s="31" t="str"/>
      <x:c r="I424" s="31" t="str"/>
      <x:c r="J424" s="31" t="str">
        <x:v>No</x:v>
      </x:c>
    </x:row>
    <x:row r="425">
      <x:c r="A425" s="31" t="str"/>
      <x:c r="B425" s="31" t="str">
        <x:v>Hashing</x:v>
      </x:c>
      <x:c r="C425" s="31" t="str">
        <x:v>Medium</x:v>
      </x:c>
      <x:c r="D425" s="31" t="str"/>
      <x:c r="E425" s="31" t="str">
        <x:v>No</x:v>
      </x:c>
      <x:c r="F425" s="31" t="str"/>
      <x:c r="G425" s="31" t="str"/>
      <x:c r="H425" s="31" t="str"/>
      <x:c r="I425" s="31" t="str"/>
      <x:c r="J425" s="31" t="str">
        <x:v>No</x:v>
      </x:c>
    </x:row>
    <x:row r="426">
      <x:c r="A426" s="31" t="str"/>
      <x:c r="B426" s="31" t="str">
        <x:v>Two Pointers</x:v>
      </x:c>
      <x:c r="C426" s="31" t="str">
        <x:v>Hard</x:v>
      </x:c>
      <x:c r="D426" s="31" t="str"/>
      <x:c r="E426" s="31" t="str">
        <x:v>No</x:v>
      </x:c>
      <x:c r="F426" s="31" t="str"/>
      <x:c r="G426" s="31" t="str"/>
      <x:c r="H426" s="31" t="str"/>
      <x:c r="I426" s="31" t="str"/>
      <x:c r="J426" s="31" t="str">
        <x:v>No</x:v>
      </x:c>
    </x:row>
    <x:row r="427">
      <x:c r="A427" s="31" t="str"/>
      <x:c r="B427" s="31" t="str">
        <x:v>Sliding Window</x:v>
      </x:c>
      <x:c r="C427" s="31" t="str">
        <x:v>Easy</x:v>
      </x:c>
      <x:c r="D427" s="31" t="str"/>
      <x:c r="E427" s="31" t="str">
        <x:v>No</x:v>
      </x:c>
      <x:c r="F427" s="31" t="str"/>
      <x:c r="G427" s="31" t="str"/>
      <x:c r="H427" s="31" t="str"/>
      <x:c r="I427" s="31" t="str"/>
      <x:c r="J427" s="31" t="str">
        <x:v>No</x:v>
      </x:c>
    </x:row>
    <x:row r="428">
      <x:c r="A428" s="31" t="str"/>
      <x:c r="B428" s="31" t="str">
        <x:v>Binary Search</x:v>
      </x:c>
      <x:c r="C428" s="31" t="str">
        <x:v>Medium</x:v>
      </x:c>
      <x:c r="D428" s="31" t="str"/>
      <x:c r="E428" s="31" t="str">
        <x:v>No</x:v>
      </x:c>
      <x:c r="F428" s="31" t="str"/>
      <x:c r="G428" s="31" t="str"/>
      <x:c r="H428" s="31" t="str"/>
      <x:c r="I428" s="31" t="str"/>
      <x:c r="J428" s="31" t="str">
        <x:v>No</x:v>
      </x:c>
    </x:row>
    <x:row r="429">
      <x:c r="A429" s="31" t="str"/>
      <x:c r="B429" s="31" t="str">
        <x:v>Stack</x:v>
      </x:c>
      <x:c r="C429" s="31" t="str">
        <x:v>Hard</x:v>
      </x:c>
      <x:c r="D429" s="31" t="str"/>
      <x:c r="E429" s="31" t="str">
        <x:v>No</x:v>
      </x:c>
      <x:c r="F429" s="31" t="str"/>
      <x:c r="G429" s="31" t="str"/>
      <x:c r="H429" s="31" t="str"/>
      <x:c r="I429" s="31" t="str"/>
      <x:c r="J429" s="31" t="str">
        <x:v>No</x:v>
      </x:c>
    </x:row>
    <x:row r="430">
      <x:c r="A430" s="31" t="str"/>
      <x:c r="B430" s="31" t="str">
        <x:v>Queue</x:v>
      </x:c>
      <x:c r="C430" s="31" t="str">
        <x:v>Easy</x:v>
      </x:c>
      <x:c r="D430" s="31" t="str"/>
      <x:c r="E430" s="31" t="str">
        <x:v>No</x:v>
      </x:c>
      <x:c r="F430" s="31" t="str"/>
      <x:c r="G430" s="31" t="str"/>
      <x:c r="H430" s="31" t="str"/>
      <x:c r="I430" s="31" t="str"/>
      <x:c r="J430" s="31" t="str">
        <x:v>No</x:v>
      </x:c>
    </x:row>
    <x:row r="431">
      <x:c r="A431" s="31" t="str"/>
      <x:c r="B431" s="31" t="str">
        <x:v>Linked List</x:v>
      </x:c>
      <x:c r="C431" s="31" t="str">
        <x:v>Medium</x:v>
      </x:c>
      <x:c r="D431" s="31" t="str"/>
      <x:c r="E431" s="31" t="str">
        <x:v>No</x:v>
      </x:c>
      <x:c r="F431" s="31" t="str"/>
      <x:c r="G431" s="31" t="str"/>
      <x:c r="H431" s="31" t="str"/>
      <x:c r="I431" s="31" t="str"/>
      <x:c r="J431" s="31" t="str">
        <x:v>No</x:v>
      </x:c>
    </x:row>
    <x:row r="432">
      <x:c r="A432" s="31" t="str"/>
      <x:c r="B432" s="31" t="str">
        <x:v>Trees</x:v>
      </x:c>
      <x:c r="C432" s="31" t="str">
        <x:v>Hard</x:v>
      </x:c>
      <x:c r="D432" s="31" t="str"/>
      <x:c r="E432" s="31" t="str">
        <x:v>No</x:v>
      </x:c>
      <x:c r="F432" s="31" t="str"/>
      <x:c r="G432" s="31" t="str"/>
      <x:c r="H432" s="31" t="str"/>
      <x:c r="I432" s="31" t="str"/>
      <x:c r="J432" s="31" t="str">
        <x:v>No</x:v>
      </x:c>
    </x:row>
    <x:row r="433">
      <x:c r="A433" s="31" t="str"/>
      <x:c r="B433" s="31" t="str">
        <x:v>BFS</x:v>
      </x:c>
      <x:c r="C433" s="31" t="str">
        <x:v>Easy</x:v>
      </x:c>
      <x:c r="D433" s="31" t="str"/>
      <x:c r="E433" s="31" t="str">
        <x:v>No</x:v>
      </x:c>
      <x:c r="F433" s="31" t="str"/>
      <x:c r="G433" s="31" t="str"/>
      <x:c r="H433" s="31" t="str"/>
      <x:c r="I433" s="31" t="str"/>
      <x:c r="J433" s="31" t="str">
        <x:v>No</x:v>
      </x:c>
    </x:row>
    <x:row r="434">
      <x:c r="A434" s="31" t="str"/>
      <x:c r="B434" s="31" t="str">
        <x:v>DFS</x:v>
      </x:c>
      <x:c r="C434" s="31" t="str">
        <x:v>Medium</x:v>
      </x:c>
      <x:c r="D434" s="31" t="str"/>
      <x:c r="E434" s="31" t="str">
        <x:v>No</x:v>
      </x:c>
      <x:c r="F434" s="31" t="str"/>
      <x:c r="G434" s="31" t="str"/>
      <x:c r="H434" s="31" t="str"/>
      <x:c r="I434" s="31" t="str"/>
      <x:c r="J434" s="31" t="str">
        <x:v>No</x:v>
      </x:c>
    </x:row>
    <x:row r="435">
      <x:c r="A435" s="31" t="str"/>
      <x:c r="B435" s="31" t="str">
        <x:v>Backtracking</x:v>
      </x:c>
      <x:c r="C435" s="31" t="str">
        <x:v>Hard</x:v>
      </x:c>
      <x:c r="D435" s="31" t="str"/>
      <x:c r="E435" s="31" t="str">
        <x:v>No</x:v>
      </x:c>
      <x:c r="F435" s="31" t="str"/>
      <x:c r="G435" s="31" t="str"/>
      <x:c r="H435" s="31" t="str"/>
      <x:c r="I435" s="31" t="str"/>
      <x:c r="J435" s="31" t="str">
        <x:v>No</x:v>
      </x:c>
    </x:row>
    <x:row r="436">
      <x:c r="A436" s="31" t="str"/>
      <x:c r="B436" s="31" t="str">
        <x:v>Heap</x:v>
      </x:c>
      <x:c r="C436" s="31" t="str">
        <x:v>Easy</x:v>
      </x:c>
      <x:c r="D436" s="31" t="str"/>
      <x:c r="E436" s="31" t="str">
        <x:v>No</x:v>
      </x:c>
      <x:c r="F436" s="31" t="str"/>
      <x:c r="G436" s="31" t="str"/>
      <x:c r="H436" s="31" t="str"/>
      <x:c r="I436" s="31" t="str"/>
      <x:c r="J436" s="31" t="str">
        <x:v>No</x:v>
      </x:c>
    </x:row>
    <x:row r="437">
      <x:c r="A437" s="31" t="str"/>
      <x:c r="B437" s="31" t="str">
        <x:v>Graphs</x:v>
      </x:c>
      <x:c r="C437" s="31" t="str">
        <x:v>Medium</x:v>
      </x:c>
      <x:c r="D437" s="31" t="str"/>
      <x:c r="E437" s="31" t="str">
        <x:v>No</x:v>
      </x:c>
      <x:c r="F437" s="31" t="str"/>
      <x:c r="G437" s="31" t="str"/>
      <x:c r="H437" s="31" t="str"/>
      <x:c r="I437" s="31" t="str"/>
      <x:c r="J437" s="31" t="str">
        <x:v>No</x:v>
      </x:c>
    </x:row>
    <x:row r="438">
      <x:c r="A438" s="31" t="str"/>
      <x:c r="B438" s="31" t="str">
        <x:v>Topological Sort</x:v>
      </x:c>
      <x:c r="C438" s="31" t="str">
        <x:v>Hard</x:v>
      </x:c>
      <x:c r="D438" s="31" t="str"/>
      <x:c r="E438" s="31" t="str">
        <x:v>No</x:v>
      </x:c>
      <x:c r="F438" s="31" t="str"/>
      <x:c r="G438" s="31" t="str"/>
      <x:c r="H438" s="31" t="str"/>
      <x:c r="I438" s="31" t="str"/>
      <x:c r="J438" s="31" t="str">
        <x:v>No</x:v>
      </x:c>
    </x:row>
    <x:row r="439">
      <x:c r="A439" s="31" t="str"/>
      <x:c r="B439" s="31" t="str">
        <x:v>Union-Find</x:v>
      </x:c>
      <x:c r="C439" s="31" t="str">
        <x:v>Easy</x:v>
      </x:c>
      <x:c r="D439" s="31" t="str"/>
      <x:c r="E439" s="31" t="str">
        <x:v>No</x:v>
      </x:c>
      <x:c r="F439" s="31" t="str"/>
      <x:c r="G439" s="31" t="str"/>
      <x:c r="H439" s="31" t="str"/>
      <x:c r="I439" s="31" t="str"/>
      <x:c r="J439" s="31" t="str">
        <x:v>No</x:v>
      </x:c>
    </x:row>
    <x:row r="440">
      <x:c r="A440" s="31" t="str"/>
      <x:c r="B440" s="31" t="str">
        <x:v>Trie</x:v>
      </x:c>
      <x:c r="C440" s="31" t="str">
        <x:v>Medium</x:v>
      </x:c>
      <x:c r="D440" s="31" t="str"/>
      <x:c r="E440" s="31" t="str">
        <x:v>No</x:v>
      </x:c>
      <x:c r="F440" s="31" t="str"/>
      <x:c r="G440" s="31" t="str"/>
      <x:c r="H440" s="31" t="str"/>
      <x:c r="I440" s="31" t="str"/>
      <x:c r="J440" s="31" t="str">
        <x:v>No</x:v>
      </x:c>
    </x:row>
    <x:row r="441">
      <x:c r="A441" s="31" t="str"/>
      <x:c r="B441" s="31" t="str">
        <x:v>Greedy</x:v>
      </x:c>
      <x:c r="C441" s="31" t="str">
        <x:v>Hard</x:v>
      </x:c>
      <x:c r="D441" s="31" t="str"/>
      <x:c r="E441" s="31" t="str">
        <x:v>No</x:v>
      </x:c>
      <x:c r="F441" s="31" t="str"/>
      <x:c r="G441" s="31" t="str"/>
      <x:c r="H441" s="31" t="str"/>
      <x:c r="I441" s="31" t="str"/>
      <x:c r="J441" s="31" t="str">
        <x:v>No</x:v>
      </x:c>
    </x:row>
    <x:row r="442">
      <x:c r="A442" s="31" t="str"/>
      <x:c r="B442" s="31" t="str">
        <x:v>Intervals</x:v>
      </x:c>
      <x:c r="C442" s="31" t="str">
        <x:v>Easy</x:v>
      </x:c>
      <x:c r="D442" s="31" t="str"/>
      <x:c r="E442" s="31" t="str">
        <x:v>No</x:v>
      </x:c>
      <x:c r="F442" s="31" t="str"/>
      <x:c r="G442" s="31" t="str"/>
      <x:c r="H442" s="31" t="str"/>
      <x:c r="I442" s="31" t="str"/>
      <x:c r="J442" s="31" t="str">
        <x:v>No</x:v>
      </x:c>
    </x:row>
    <x:row r="443">
      <x:c r="A443" s="31" t="str"/>
      <x:c r="B443" s="31" t="str">
        <x:v>Dynamic Programming</x:v>
      </x:c>
      <x:c r="C443" s="31" t="str">
        <x:v>Medium</x:v>
      </x:c>
      <x:c r="D443" s="31" t="str"/>
      <x:c r="E443" s="31" t="str">
        <x:v>No</x:v>
      </x:c>
      <x:c r="F443" s="31" t="str"/>
      <x:c r="G443" s="31" t="str"/>
      <x:c r="H443" s="31" t="str"/>
      <x:c r="I443" s="31" t="str"/>
      <x:c r="J443" s="31" t="str">
        <x:v>No</x:v>
      </x:c>
    </x:row>
    <x:row r="444">
      <x:c r="A444" s="31" t="str"/>
      <x:c r="B444" s="31" t="str">
        <x:v>Arrays</x:v>
      </x:c>
      <x:c r="C444" s="31" t="str">
        <x:v>Hard</x:v>
      </x:c>
      <x:c r="D444" s="31" t="str"/>
      <x:c r="E444" s="31" t="str">
        <x:v>No</x:v>
      </x:c>
      <x:c r="F444" s="31" t="str"/>
      <x:c r="G444" s="31" t="str"/>
      <x:c r="H444" s="31" t="str"/>
      <x:c r="I444" s="31" t="str"/>
      <x:c r="J444" s="31" t="str">
        <x:v>No</x:v>
      </x:c>
    </x:row>
    <x:row r="445">
      <x:c r="A445" s="31" t="str"/>
      <x:c r="B445" s="31" t="str">
        <x:v>Hashing</x:v>
      </x:c>
      <x:c r="C445" s="31" t="str">
        <x:v>Easy</x:v>
      </x:c>
      <x:c r="D445" s="31" t="str"/>
      <x:c r="E445" s="31" t="str">
        <x:v>No</x:v>
      </x:c>
      <x:c r="F445" s="31" t="str"/>
      <x:c r="G445" s="31" t="str"/>
      <x:c r="H445" s="31" t="str"/>
      <x:c r="I445" s="31" t="str"/>
      <x:c r="J445" s="31" t="str">
        <x:v>No</x:v>
      </x:c>
    </x:row>
    <x:row r="446">
      <x:c r="A446" s="31" t="str"/>
      <x:c r="B446" s="31" t="str">
        <x:v>Two Pointers</x:v>
      </x:c>
      <x:c r="C446" s="31" t="str">
        <x:v>Medium</x:v>
      </x:c>
      <x:c r="D446" s="31" t="str"/>
      <x:c r="E446" s="31" t="str">
        <x:v>No</x:v>
      </x:c>
      <x:c r="F446" s="31" t="str"/>
      <x:c r="G446" s="31" t="str"/>
      <x:c r="H446" s="31" t="str"/>
      <x:c r="I446" s="31" t="str"/>
      <x:c r="J446" s="31" t="str">
        <x:v>No</x:v>
      </x:c>
    </x:row>
    <x:row r="447">
      <x:c r="A447" s="31" t="str"/>
      <x:c r="B447" s="31" t="str">
        <x:v>Sliding Window</x:v>
      </x:c>
      <x:c r="C447" s="31" t="str">
        <x:v>Hard</x:v>
      </x:c>
      <x:c r="D447" s="31" t="str"/>
      <x:c r="E447" s="31" t="str">
        <x:v>No</x:v>
      </x:c>
      <x:c r="F447" s="31" t="str"/>
      <x:c r="G447" s="31" t="str"/>
      <x:c r="H447" s="31" t="str"/>
      <x:c r="I447" s="31" t="str"/>
      <x:c r="J447" s="31" t="str">
        <x:v>No</x:v>
      </x:c>
    </x:row>
    <x:row r="448">
      <x:c r="A448" s="31" t="str"/>
      <x:c r="B448" s="31" t="str">
        <x:v>Binary Search</x:v>
      </x:c>
      <x:c r="C448" s="31" t="str">
        <x:v>Easy</x:v>
      </x:c>
      <x:c r="D448" s="31" t="str"/>
      <x:c r="E448" s="31" t="str">
        <x:v>No</x:v>
      </x:c>
      <x:c r="F448" s="31" t="str"/>
      <x:c r="G448" s="31" t="str"/>
      <x:c r="H448" s="31" t="str"/>
      <x:c r="I448" s="31" t="str"/>
      <x:c r="J448" s="31" t="str">
        <x:v>No</x:v>
      </x:c>
    </x:row>
    <x:row r="449">
      <x:c r="A449" s="31" t="str"/>
      <x:c r="B449" s="31" t="str">
        <x:v>Stack</x:v>
      </x:c>
      <x:c r="C449" s="31" t="str">
        <x:v>Medium</x:v>
      </x:c>
      <x:c r="D449" s="31" t="str"/>
      <x:c r="E449" s="31" t="str">
        <x:v>No</x:v>
      </x:c>
      <x:c r="F449" s="31" t="str"/>
      <x:c r="G449" s="31" t="str"/>
      <x:c r="H449" s="31" t="str"/>
      <x:c r="I449" s="31" t="str"/>
      <x:c r="J449" s="31" t="str">
        <x:v>No</x:v>
      </x:c>
    </x:row>
    <x:row r="450">
      <x:c r="A450" s="31" t="str"/>
      <x:c r="B450" s="31" t="str">
        <x:v>Queue</x:v>
      </x:c>
      <x:c r="C450" s="31" t="str">
        <x:v>Hard</x:v>
      </x:c>
      <x:c r="D450" s="31" t="str"/>
      <x:c r="E450" s="31" t="str">
        <x:v>No</x:v>
      </x:c>
      <x:c r="F450" s="31" t="str"/>
      <x:c r="G450" s="31" t="str"/>
      <x:c r="H450" s="31" t="str"/>
      <x:c r="I450" s="31" t="str"/>
      <x:c r="J450" s="31" t="str">
        <x:v>No</x:v>
      </x:c>
    </x:row>
    <x:row r="451">
      <x:c r="A451" s="31" t="str"/>
      <x:c r="B451" s="31" t="str">
        <x:v>Linked List</x:v>
      </x:c>
      <x:c r="C451" s="31" t="str">
        <x:v>Easy</x:v>
      </x:c>
      <x:c r="D451" s="31" t="str"/>
      <x:c r="E451" s="31" t="str">
        <x:v>No</x:v>
      </x:c>
      <x:c r="F451" s="31" t="str"/>
      <x:c r="G451" s="31" t="str"/>
      <x:c r="H451" s="31" t="str"/>
      <x:c r="I451" s="31" t="str"/>
      <x:c r="J451" s="31" t="str">
        <x:v>No</x:v>
      </x:c>
    </x:row>
    <x:row r="452">
      <x:c r="A452" s="31" t="str"/>
      <x:c r="B452" s="31" t="str">
        <x:v>Trees</x:v>
      </x:c>
      <x:c r="C452" s="31" t="str">
        <x:v>Medium</x:v>
      </x:c>
      <x:c r="D452" s="31" t="str"/>
      <x:c r="E452" s="31" t="str">
        <x:v>No</x:v>
      </x:c>
      <x:c r="F452" s="31" t="str"/>
      <x:c r="G452" s="31" t="str"/>
      <x:c r="H452" s="31" t="str"/>
      <x:c r="I452" s="31" t="str"/>
      <x:c r="J452" s="31" t="str">
        <x:v>No</x:v>
      </x:c>
    </x:row>
    <x:row r="453">
      <x:c r="A453" s="31" t="str"/>
      <x:c r="B453" s="31" t="str">
        <x:v>BFS</x:v>
      </x:c>
      <x:c r="C453" s="31" t="str">
        <x:v>Hard</x:v>
      </x:c>
      <x:c r="D453" s="31" t="str"/>
      <x:c r="E453" s="31" t="str">
        <x:v>No</x:v>
      </x:c>
      <x:c r="F453" s="31" t="str"/>
      <x:c r="G453" s="31" t="str"/>
      <x:c r="H453" s="31" t="str"/>
      <x:c r="I453" s="31" t="str"/>
      <x:c r="J453" s="31" t="str">
        <x:v>No</x:v>
      </x:c>
    </x:row>
  </x:sheetData>
  <x:mergeCells>
    <x:mergeCell ref="A1:J1"/>
  </x:mergeCells>
  <x:conditionalFormatting sqref="F4:F453">
    <x:cfRule type="expression" dxfId="2" priority="1">
      <x:formula>F4="Yes"</x:formula>
    </x:cfRule>
  </x:conditionalFormatting>
  <x:conditionalFormatting sqref="J4:J453">
    <x:cfRule type="expression" dxfId="3" priority="2">
      <x:formula>J4="Yes"</x:formula>
    </x:cfRule>
  </x:conditionalFormatting>
  <x:dataValidations count="3">
    <x:dataValidation type="list" sqref="C4:C453">
      <x:formula1>"Easy,Medium,Hard"</x:formula1>
    </x:dataValidation>
    <x:dataValidation type="list" sqref="F4:F453">
      <x:formula1>"Yes,No"</x:formula1>
    </x:dataValidation>
    <x:dataValidation type="list" sqref="J4:J453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a12e44df133462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0" hidden="0" customWidth="1"/>
    <x:col min="4" max="4" width="42" hidden="0" customWidth="1"/>
    <x:col min="5" max="5" width="12" hidden="0" customWidth="1"/>
    <x:col min="6" max="6" width="16" hidden="0" customWidth="1"/>
    <x:col min="7" max="7" width="12" hidden="0" customWidth="1"/>
    <x:col min="8" max="8" width="14" hidden="0" customWidth="1"/>
    <x:col min="9" max="9" width="14" hidden="0" customWidth="1"/>
    <x:col min="10" max="10" width="14" hidden="0" customWidth="1"/>
    <x:col min="11" max="11" width="34" hidden="0" customWidth="1"/>
  </x:cols>
  <x:sheetData>
    <x:row r="1" ht="28" customHeight="1">
      <x:c r="A1" s="5" t="str">
        <x:v>FLAGSHIP PROJECT TRACKER — 3 PRODUCTION-GRADE PROJECTS</x:v>
      </x:c>
    </x:row>
    <x:row r="3">
      <x:c r="A3" s="25" t="str">
        <x:v>Project</x:v>
      </x:c>
      <x:c r="B3" s="25" t="str">
        <x:v>Phase</x:v>
      </x:c>
      <x:c r="C3" s="25" t="str">
        <x:v>Task ID</x:v>
      </x:c>
      <x:c r="D3" s="25" t="str">
        <x:v>Task</x:v>
      </x:c>
      <x:c r="E3" s="25" t="str">
        <x:v>Target Month</x:v>
      </x:c>
      <x:c r="F3" s="25" t="str">
        <x:v>Status</x:v>
      </x:c>
      <x:c r="G3" s="25" t="str">
        <x:v>Priority</x:v>
      </x:c>
      <x:c r="H3" s="25" t="str">
        <x:v>Owner</x:v>
      </x:c>
      <x:c r="I3" s="25" t="str">
        <x:v>Start</x:v>
      </x:c>
      <x:c r="J3" s="25" t="str">
        <x:v>Due</x:v>
      </x:c>
      <x:c r="K3" s="25" t="str">
        <x:v>Evidence / Link</x:v>
      </x:c>
    </x:row>
    <x:row r="4">
      <x:c r="A4" s="31" t="str">
        <x:v>Project 1 — AI Engineering Intelligence Platform</x:v>
      </x:c>
      <x:c r="B4" s="31" t="str">
        <x:v>Ingestion</x:v>
      </x:c>
      <x:c r="C4" s="31" t="n">
        <x:v>1</x:v>
      </x:c>
      <x:c r="D4" s="31" t="str">
        <x:v>Build document CRUD API</x:v>
      </x:c>
      <x:c r="E4" s="31" t="n">
        <x:v>3</x:v>
      </x:c>
      <x:c r="F4" s="31" t="str">
        <x:v>Not Started</x:v>
      </x:c>
      <x:c r="G4" s="31" t="str">
        <x:v>Critical</x:v>
      </x:c>
      <x:c r="H4" s="31" t="str"/>
      <x:c r="I4" s="31" t="str"/>
      <x:c r="J4" s="31" t="str"/>
      <x:c r="K4" s="31" t="str"/>
    </x:row>
    <x:row r="5">
      <x:c r="A5" s="31" t="str">
        <x:v>Project 1 — AI Engineering Intelligence Platform</x:v>
      </x:c>
      <x:c r="B5" s="31" t="str">
        <x:v>Ingestion</x:v>
      </x:c>
      <x:c r="C5" s="31" t="n">
        <x:v>2</x:v>
      </x:c>
      <x:c r="D5" s="31" t="str">
        <x:v>PDF/DOCX/TXT/Markdown extraction</x:v>
      </x:c>
      <x:c r="E5" s="31" t="n">
        <x:v>3</x:v>
      </x:c>
      <x:c r="F5" s="31" t="str">
        <x:v>Not Started</x:v>
      </x:c>
      <x:c r="G5" s="31" t="str">
        <x:v>Critical</x:v>
      </x:c>
      <x:c r="H5" s="31" t="str"/>
      <x:c r="I5" s="31" t="str"/>
      <x:c r="J5" s="31" t="str"/>
      <x:c r="K5" s="31" t="str"/>
    </x:row>
    <x:row r="6">
      <x:c r="A6" s="31" t="str">
        <x:v>Project 1 — AI Engineering Intelligence Platform</x:v>
      </x:c>
      <x:c r="B6" s="31" t="str">
        <x:v>Ingestion</x:v>
      </x:c>
      <x:c r="C6" s="31" t="n">
        <x:v>3</x:v>
      </x:c>
      <x:c r="D6" s="31" t="str">
        <x:v>Chunking + metadata</x:v>
      </x:c>
      <x:c r="E6" s="31" t="n">
        <x:v>3</x:v>
      </x:c>
      <x:c r="F6" s="31" t="str">
        <x:v>Not Started</x:v>
      </x:c>
      <x:c r="G6" s="31" t="str">
        <x:v>Critical</x:v>
      </x:c>
      <x:c r="H6" s="31" t="str"/>
      <x:c r="I6" s="31" t="str"/>
      <x:c r="J6" s="31" t="str"/>
      <x:c r="K6" s="31" t="str"/>
    </x:row>
    <x:row r="7">
      <x:c r="A7" s="31" t="str">
        <x:v>Project 1 — AI Engineering Intelligence Platform</x:v>
      </x:c>
      <x:c r="B7" s="31" t="str">
        <x:v>RAG</x:v>
      </x:c>
      <x:c r="C7" s="31" t="n">
        <x:v>4</x:v>
      </x:c>
      <x:c r="D7" s="31" t="str">
        <x:v>Dense retrieval baseline</x:v>
      </x:c>
      <x:c r="E7" s="31" t="n">
        <x:v>6</x:v>
      </x:c>
      <x:c r="F7" s="31" t="str">
        <x:v>Not Started</x:v>
      </x:c>
      <x:c r="G7" s="31" t="str">
        <x:v>Critical</x:v>
      </x:c>
      <x:c r="H7" s="31" t="str"/>
      <x:c r="I7" s="31" t="str"/>
      <x:c r="J7" s="31" t="str"/>
      <x:c r="K7" s="31" t="str"/>
    </x:row>
    <x:row r="8">
      <x:c r="A8" s="31" t="str">
        <x:v>Project 1 — AI Engineering Intelligence Platform</x:v>
      </x:c>
      <x:c r="B8" s="31" t="str">
        <x:v>RAG</x:v>
      </x:c>
      <x:c r="C8" s="31" t="n">
        <x:v>5</x:v>
      </x:c>
      <x:c r="D8" s="31" t="str">
        <x:v>BM25 hybrid retrieval</x:v>
      </x:c>
      <x:c r="E8" s="31" t="n">
        <x:v>6</x:v>
      </x:c>
      <x:c r="F8" s="31" t="str">
        <x:v>Not Started</x:v>
      </x:c>
      <x:c r="G8" s="31" t="str">
        <x:v>Critical</x:v>
      </x:c>
      <x:c r="H8" s="31" t="str"/>
      <x:c r="I8" s="31" t="str"/>
      <x:c r="J8" s="31" t="str"/>
      <x:c r="K8" s="31" t="str"/>
    </x:row>
    <x:row r="9">
      <x:c r="A9" s="31" t="str">
        <x:v>Project 1 — AI Engineering Intelligence Platform</x:v>
      </x:c>
      <x:c r="B9" s="31" t="str">
        <x:v>RAG</x:v>
      </x:c>
      <x:c r="C9" s="31" t="n">
        <x:v>6</x:v>
      </x:c>
      <x:c r="D9" s="31" t="str">
        <x:v>Reranking</x:v>
      </x:c>
      <x:c r="E9" s="31" t="n">
        <x:v>6</x:v>
      </x:c>
      <x:c r="F9" s="31" t="str">
        <x:v>Not Started</x:v>
      </x:c>
      <x:c r="G9" s="31" t="str">
        <x:v>Critical</x:v>
      </x:c>
      <x:c r="H9" s="31" t="str"/>
      <x:c r="I9" s="31" t="str"/>
      <x:c r="J9" s="31" t="str"/>
      <x:c r="K9" s="31" t="str"/>
    </x:row>
    <x:row r="10">
      <x:c r="A10" s="31" t="str">
        <x:v>Project 1 — AI Engineering Intelligence Platform</x:v>
      </x:c>
      <x:c r="B10" s="31" t="str">
        <x:v>RAG</x:v>
      </x:c>
      <x:c r="C10" s="31" t="n">
        <x:v>7</x:v>
      </x:c>
      <x:c r="D10" s="31" t="str">
        <x:v>Retrieval evaluation: Recall@K/MRR/nDCG</x:v>
      </x:c>
      <x:c r="E10" s="31" t="n">
        <x:v>6</x:v>
      </x:c>
      <x:c r="F10" s="31" t="str">
        <x:v>Not Started</x:v>
      </x:c>
      <x:c r="G10" s="31" t="str">
        <x:v>Critical</x:v>
      </x:c>
      <x:c r="H10" s="31" t="str"/>
      <x:c r="I10" s="31" t="str"/>
      <x:c r="J10" s="31" t="str"/>
      <x:c r="K10" s="31" t="str"/>
    </x:row>
    <x:row r="11">
      <x:c r="A11" s="31" t="str">
        <x:v>Project 1 — AI Engineering Intelligence Platform</x:v>
      </x:c>
      <x:c r="B11" s="31" t="str">
        <x:v>Agents</x:v>
      </x:c>
      <x:c r="C11" s="31" t="n">
        <x:v>8</x:v>
      </x:c>
      <x:c r="D11" s="31" t="str">
        <x:v>Tool registry</x:v>
      </x:c>
      <x:c r="E11" s="31" t="n">
        <x:v>7</x:v>
      </x:c>
      <x:c r="F11" s="31" t="str">
        <x:v>Not Started</x:v>
      </x:c>
      <x:c r="G11" s="31" t="str">
        <x:v>Critical</x:v>
      </x:c>
      <x:c r="H11" s="31" t="str"/>
      <x:c r="I11" s="31" t="str"/>
      <x:c r="J11" s="31" t="str"/>
      <x:c r="K11" s="31" t="str"/>
    </x:row>
    <x:row r="12">
      <x:c r="A12" s="31" t="str">
        <x:v>Project 1 — AI Engineering Intelligence Platform</x:v>
      </x:c>
      <x:c r="B12" s="31" t="str">
        <x:v>Agents</x:v>
      </x:c>
      <x:c r="C12" s="31" t="n">
        <x:v>9</x:v>
      </x:c>
      <x:c r="D12" s="31" t="str">
        <x:v>Requirement analysis agent</x:v>
      </x:c>
      <x:c r="E12" s="31" t="n">
        <x:v>7</x:v>
      </x:c>
      <x:c r="F12" s="31" t="str">
        <x:v>Not Started</x:v>
      </x:c>
      <x:c r="G12" s="31" t="str">
        <x:v>Critical</x:v>
      </x:c>
      <x:c r="H12" s="31" t="str"/>
      <x:c r="I12" s="31" t="str"/>
      <x:c r="J12" s="31" t="str"/>
      <x:c r="K12" s="31" t="str"/>
    </x:row>
    <x:row r="13">
      <x:c r="A13" s="31" t="str">
        <x:v>Project 1 — AI Engineering Intelligence Platform</x:v>
      </x:c>
      <x:c r="B13" s="31" t="str">
        <x:v>Agents</x:v>
      </x:c>
      <x:c r="C13" s="31" t="n">
        <x:v>10</x:v>
      </x:c>
      <x:c r="D13" s="31" t="str">
        <x:v>Impact analysis agent</x:v>
      </x:c>
      <x:c r="E13" s="31" t="n">
        <x:v>7</x:v>
      </x:c>
      <x:c r="F13" s="31" t="str">
        <x:v>Not Started</x:v>
      </x:c>
      <x:c r="G13" s="31" t="str">
        <x:v>Critical</x:v>
      </x:c>
      <x:c r="H13" s="31" t="str"/>
      <x:c r="I13" s="31" t="str"/>
      <x:c r="J13" s="31" t="str"/>
      <x:c r="K13" s="31" t="str"/>
    </x:row>
    <x:row r="14">
      <x:c r="A14" s="31" t="str">
        <x:v>Project 1 — AI Engineering Intelligence Platform</x:v>
      </x:c>
      <x:c r="B14" s="31" t="str">
        <x:v>Agents</x:v>
      </x:c>
      <x:c r="C14" s="31" t="n">
        <x:v>11</x:v>
      </x:c>
      <x:c r="D14" s="31" t="str">
        <x:v>Test generation + execution tools</x:v>
      </x:c>
      <x:c r="E14" s="31" t="n">
        <x:v>7</x:v>
      </x:c>
      <x:c r="F14" s="31" t="str">
        <x:v>Not Started</x:v>
      </x:c>
      <x:c r="G14" s="31" t="str">
        <x:v>Critical</x:v>
      </x:c>
      <x:c r="H14" s="31" t="str"/>
      <x:c r="I14" s="31" t="str"/>
      <x:c r="J14" s="31" t="str"/>
      <x:c r="K14" s="31" t="str"/>
    </x:row>
    <x:row r="15">
      <x:c r="A15" s="31" t="str">
        <x:v>Project 1 — AI Engineering Intelligence Platform</x:v>
      </x:c>
      <x:c r="B15" s="31" t="str">
        <x:v>Governance</x:v>
      </x:c>
      <x:c r="C15" s="31" t="n">
        <x:v>12</x:v>
      </x:c>
      <x:c r="D15" s="31" t="str">
        <x:v>Human-in-the-loop approval</x:v>
      </x:c>
      <x:c r="E15" s="31" t="n">
        <x:v>7</x:v>
      </x:c>
      <x:c r="F15" s="31" t="str">
        <x:v>Not Started</x:v>
      </x:c>
      <x:c r="G15" s="31" t="str">
        <x:v>Critical</x:v>
      </x:c>
      <x:c r="H15" s="31" t="str"/>
      <x:c r="I15" s="31" t="str"/>
      <x:c r="J15" s="31" t="str"/>
      <x:c r="K15" s="31" t="str"/>
    </x:row>
    <x:row r="16">
      <x:c r="A16" s="31" t="str">
        <x:v>Project 1 — AI Engineering Intelligence Platform</x:v>
      </x:c>
      <x:c r="B16" s="31" t="str">
        <x:v>Observability</x:v>
      </x:c>
      <x:c r="C16" s="31" t="n">
        <x:v>13</x:v>
      </x:c>
      <x:c r="D16" s="31" t="str">
        <x:v>Structured logs</x:v>
      </x:c>
      <x:c r="E16" s="31" t="n">
        <x:v>10</x:v>
      </x:c>
      <x:c r="F16" s="31" t="str">
        <x:v>Not Started</x:v>
      </x:c>
      <x:c r="G16" s="31" t="str">
        <x:v>Critical</x:v>
      </x:c>
      <x:c r="H16" s="31" t="str"/>
      <x:c r="I16" s="31" t="str"/>
      <x:c r="J16" s="31" t="str"/>
      <x:c r="K16" s="31" t="str"/>
    </x:row>
    <x:row r="17">
      <x:c r="A17" s="31" t="str">
        <x:v>Project 1 — AI Engineering Intelligence Platform</x:v>
      </x:c>
      <x:c r="B17" s="31" t="str">
        <x:v>Observability</x:v>
      </x:c>
      <x:c r="C17" s="31" t="n">
        <x:v>14</x:v>
      </x:c>
      <x:c r="D17" s="31" t="str">
        <x:v>OpenTelemetry tracing</x:v>
      </x:c>
      <x:c r="E17" s="31" t="n">
        <x:v>10</x:v>
      </x:c>
      <x:c r="F17" s="31" t="str">
        <x:v>Not Started</x:v>
      </x:c>
      <x:c r="G17" s="31" t="str">
        <x:v>Critical</x:v>
      </x:c>
      <x:c r="H17" s="31" t="str"/>
      <x:c r="I17" s="31" t="str"/>
      <x:c r="J17" s="31" t="str"/>
      <x:c r="K17" s="31" t="str"/>
    </x:row>
    <x:row r="18">
      <x:c r="A18" s="31" t="str">
        <x:v>Project 1 — AI Engineering Intelligence Platform</x:v>
      </x:c>
      <x:c r="B18" s="31" t="str">
        <x:v>Observability</x:v>
      </x:c>
      <x:c r="C18" s="31" t="n">
        <x:v>15</x:v>
      </x:c>
      <x:c r="D18" s="31" t="str">
        <x:v>Latency/token/tool metrics</x:v>
      </x:c>
      <x:c r="E18" s="31" t="n">
        <x:v>10</x:v>
      </x:c>
      <x:c r="F18" s="31" t="str">
        <x:v>Not Started</x:v>
      </x:c>
      <x:c r="G18" s="31" t="str">
        <x:v>Critical</x:v>
      </x:c>
      <x:c r="H18" s="31" t="str"/>
      <x:c r="I18" s="31" t="str"/>
      <x:c r="J18" s="31" t="str"/>
      <x:c r="K18" s="31" t="str"/>
    </x:row>
    <x:row r="19">
      <x:c r="A19" s="31" t="str">
        <x:v>Project 1 — AI Engineering Intelligence Platform</x:v>
      </x:c>
      <x:c r="B19" s="31" t="str">
        <x:v>Cloud</x:v>
      </x:c>
      <x:c r="C19" s="31" t="n">
        <x:v>16</x:v>
      </x:c>
      <x:c r="D19" s="31" t="str">
        <x:v>GCP deployment</x:v>
      </x:c>
      <x:c r="E19" s="31" t="n">
        <x:v>9</x:v>
      </x:c>
      <x:c r="F19" s="31" t="str">
        <x:v>Not Started</x:v>
      </x:c>
      <x:c r="G19" s="31" t="str">
        <x:v>Critical</x:v>
      </x:c>
      <x:c r="H19" s="31" t="str"/>
      <x:c r="I19" s="31" t="str"/>
      <x:c r="J19" s="31" t="str"/>
      <x:c r="K19" s="31" t="str"/>
    </x:row>
    <x:row r="20">
      <x:c r="A20" s="31" t="str">
        <x:v>Project 2 — ModelForge</x:v>
      </x:c>
      <x:c r="B20" s="31" t="str">
        <x:v>Data</x:v>
      </x:c>
      <x:c r="C20" s="31" t="n">
        <x:v>17</x:v>
      </x:c>
      <x:c r="D20" s="31" t="str">
        <x:v>Dataset validation</x:v>
      </x:c>
      <x:c r="E20" s="31" t="n">
        <x:v>4</x:v>
      </x:c>
      <x:c r="F20" s="31" t="str">
        <x:v>Not Started</x:v>
      </x:c>
      <x:c r="G20" s="31" t="str">
        <x:v>Critical</x:v>
      </x:c>
      <x:c r="H20" s="31" t="str"/>
      <x:c r="I20" s="31" t="str"/>
      <x:c r="J20" s="31" t="str"/>
      <x:c r="K20" s="31" t="str"/>
    </x:row>
    <x:row r="21">
      <x:c r="A21" s="31" t="str">
        <x:v>Project 2 — ModelForge</x:v>
      </x:c>
      <x:c r="B21" s="31" t="str">
        <x:v>Training</x:v>
      </x:c>
      <x:c r="C21" s="31" t="n">
        <x:v>18</x:v>
      </x:c>
      <x:c r="D21" s="31" t="str">
        <x:v>Baseline classical models</x:v>
      </x:c>
      <x:c r="E21" s="31" t="n">
        <x:v>4</x:v>
      </x:c>
      <x:c r="F21" s="31" t="str">
        <x:v>Not Started</x:v>
      </x:c>
      <x:c r="G21" s="31" t="str">
        <x:v>Critical</x:v>
      </x:c>
      <x:c r="H21" s="31" t="str"/>
      <x:c r="I21" s="31" t="str"/>
      <x:c r="J21" s="31" t="str"/>
      <x:c r="K21" s="31" t="str"/>
    </x:row>
    <x:row r="22">
      <x:c r="A22" s="31" t="str">
        <x:v>Project 2 — ModelForge</x:v>
      </x:c>
      <x:c r="B22" s="31" t="str">
        <x:v>Training</x:v>
      </x:c>
      <x:c r="C22" s="31" t="n">
        <x:v>19</x:v>
      </x:c>
      <x:c r="D22" s="31" t="str">
        <x:v>PyTorch training pipeline</x:v>
      </x:c>
      <x:c r="E22" s="31" t="n">
        <x:v>5</x:v>
      </x:c>
      <x:c r="F22" s="31" t="str">
        <x:v>Not Started</x:v>
      </x:c>
      <x:c r="G22" s="31" t="str">
        <x:v>Critical</x:v>
      </x:c>
      <x:c r="H22" s="31" t="str"/>
      <x:c r="I22" s="31" t="str"/>
      <x:c r="J22" s="31" t="str"/>
      <x:c r="K22" s="31" t="str"/>
    </x:row>
    <x:row r="23">
      <x:c r="A23" s="31" t="str">
        <x:v>Project 2 — ModelForge</x:v>
      </x:c>
      <x:c r="B23" s="31" t="str">
        <x:v>Tracking</x:v>
      </x:c>
      <x:c r="C23" s="31" t="n">
        <x:v>20</x:v>
      </x:c>
      <x:c r="D23" s="31" t="str">
        <x:v>MLflow experiments</x:v>
      </x:c>
      <x:c r="E23" s="31" t="n">
        <x:v>5</x:v>
      </x:c>
      <x:c r="F23" s="31" t="str">
        <x:v>Not Started</x:v>
      </x:c>
      <x:c r="G23" s="31" t="str">
        <x:v>Critical</x:v>
      </x:c>
      <x:c r="H23" s="31" t="str"/>
      <x:c r="I23" s="31" t="str"/>
      <x:c r="J23" s="31" t="str"/>
      <x:c r="K23" s="31" t="str"/>
    </x:row>
    <x:row r="24">
      <x:c r="A24" s="31" t="str">
        <x:v>Project 2 — ModelForge</x:v>
      </x:c>
      <x:c r="B24" s="31" t="str">
        <x:v>Registry</x:v>
      </x:c>
      <x:c r="C24" s="31" t="n">
        <x:v>21</x:v>
      </x:c>
      <x:c r="D24" s="31" t="str">
        <x:v>Model versioning + lifecycle</x:v>
      </x:c>
      <x:c r="E24" s="31" t="n">
        <x:v>5</x:v>
      </x:c>
      <x:c r="F24" s="31" t="str">
        <x:v>Not Started</x:v>
      </x:c>
      <x:c r="G24" s="31" t="str">
        <x:v>Critical</x:v>
      </x:c>
      <x:c r="H24" s="31" t="str"/>
      <x:c r="I24" s="31" t="str"/>
      <x:c r="J24" s="31" t="str"/>
      <x:c r="K24" s="31" t="str"/>
    </x:row>
    <x:row r="25">
      <x:c r="A25" s="31" t="str">
        <x:v>Project 2 — ModelForge</x:v>
      </x:c>
      <x:c r="B25" s="31" t="str">
        <x:v>Serving</x:v>
      </x:c>
      <x:c r="C25" s="31" t="n">
        <x:v>22</x:v>
      </x:c>
      <x:c r="D25" s="31" t="str">
        <x:v>Prediction API</x:v>
      </x:c>
      <x:c r="E25" s="31" t="n">
        <x:v>5</x:v>
      </x:c>
      <x:c r="F25" s="31" t="str">
        <x:v>Not Started</x:v>
      </x:c>
      <x:c r="G25" s="31" t="str">
        <x:v>Critical</x:v>
      </x:c>
      <x:c r="H25" s="31" t="str"/>
      <x:c r="I25" s="31" t="str"/>
      <x:c r="J25" s="31" t="str"/>
      <x:c r="K25" s="31" t="str"/>
    </x:row>
    <x:row r="26">
      <x:c r="A26" s="31" t="str">
        <x:v>Project 2 — ModelForge</x:v>
      </x:c>
      <x:c r="B26" s="31" t="str">
        <x:v>Deployment</x:v>
      </x:c>
      <x:c r="C26" s="31" t="n">
        <x:v>23</x:v>
      </x:c>
      <x:c r="D26" s="31" t="str">
        <x:v>Docker + Kubernetes</x:v>
      </x:c>
      <x:c r="E26" s="31" t="n">
        <x:v>9</x:v>
      </x:c>
      <x:c r="F26" s="31" t="str">
        <x:v>Not Started</x:v>
      </x:c>
      <x:c r="G26" s="31" t="str">
        <x:v>Critical</x:v>
      </x:c>
      <x:c r="H26" s="31" t="str"/>
      <x:c r="I26" s="31" t="str"/>
      <x:c r="J26" s="31" t="str"/>
      <x:c r="K26" s="31" t="str"/>
    </x:row>
    <x:row r="27">
      <x:c r="A27" s="31" t="str">
        <x:v>Project 2 — ModelForge</x:v>
      </x:c>
      <x:c r="B27" s="31" t="str">
        <x:v>Deployment</x:v>
      </x:c>
      <x:c r="C27" s="31" t="n">
        <x:v>24</x:v>
      </x:c>
      <x:c r="D27" s="31" t="str">
        <x:v>Canary 95/5 rollout</x:v>
      </x:c>
      <x:c r="E27" s="31" t="n">
        <x:v>10</x:v>
      </x:c>
      <x:c r="F27" s="31" t="str">
        <x:v>Not Started</x:v>
      </x:c>
      <x:c r="G27" s="31" t="str">
        <x:v>Critical</x:v>
      </x:c>
      <x:c r="H27" s="31" t="str"/>
      <x:c r="I27" s="31" t="str"/>
      <x:c r="J27" s="31" t="str"/>
      <x:c r="K27" s="31" t="str"/>
    </x:row>
    <x:row r="28">
      <x:c r="A28" s="31" t="str">
        <x:v>Project 2 — ModelForge</x:v>
      </x:c>
      <x:c r="B28" s="31" t="str">
        <x:v>Monitoring</x:v>
      </x:c>
      <x:c r="C28" s="31" t="n">
        <x:v>25</x:v>
      </x:c>
      <x:c r="D28" s="31" t="str">
        <x:v>PSI/KS drift detection</x:v>
      </x:c>
      <x:c r="E28" s="31" t="n">
        <x:v>10</x:v>
      </x:c>
      <x:c r="F28" s="31" t="str">
        <x:v>Not Started</x:v>
      </x:c>
      <x:c r="G28" s="31" t="str">
        <x:v>Critical</x:v>
      </x:c>
      <x:c r="H28" s="31" t="str"/>
      <x:c r="I28" s="31" t="str"/>
      <x:c r="J28" s="31" t="str"/>
      <x:c r="K28" s="31" t="str"/>
    </x:row>
    <x:row r="29">
      <x:c r="A29" s="31" t="str">
        <x:v>Project 2 — ModelForge</x:v>
      </x:c>
      <x:c r="B29" s="31" t="str">
        <x:v>Retraining</x:v>
      </x:c>
      <x:c r="C29" s="31" t="n">
        <x:v>26</x:v>
      </x:c>
      <x:c r="D29" s="31" t="str">
        <x:v>Retraining trigger workflow</x:v>
      </x:c>
      <x:c r="E29" s="31" t="n">
        <x:v>10</x:v>
      </x:c>
      <x:c r="F29" s="31" t="str">
        <x:v>Not Started</x:v>
      </x:c>
      <x:c r="G29" s="31" t="str">
        <x:v>Critical</x:v>
      </x:c>
      <x:c r="H29" s="31" t="str"/>
      <x:c r="I29" s="31" t="str"/>
      <x:c r="J29" s="31" t="str"/>
      <x:c r="K29" s="31" t="str"/>
    </x:row>
    <x:row r="30">
      <x:c r="A30" s="31" t="str">
        <x:v>Project 3 — AI Engineering Command Center</x:v>
      </x:c>
      <x:c r="B30" s="31" t="str">
        <x:v>Frontend</x:v>
      </x:c>
      <x:c r="C30" s="31" t="n">
        <x:v>27</x:v>
      </x:c>
      <x:c r="D30" s="31" t="str">
        <x:v>React + TypeScript app shell</x:v>
      </x:c>
      <x:c r="E30" s="31" t="n">
        <x:v>8</x:v>
      </x:c>
      <x:c r="F30" s="31" t="str">
        <x:v>Not Started</x:v>
      </x:c>
      <x:c r="G30" s="31" t="str">
        <x:v>Critical</x:v>
      </x:c>
      <x:c r="H30" s="31" t="str"/>
      <x:c r="I30" s="31" t="str"/>
      <x:c r="J30" s="31" t="str"/>
      <x:c r="K30" s="31" t="str"/>
    </x:row>
    <x:row r="31">
      <x:c r="A31" s="31" t="str">
        <x:v>Project 3 — AI Engineering Command Center</x:v>
      </x:c>
      <x:c r="B31" s="31" t="str">
        <x:v>Frontend</x:v>
      </x:c>
      <x:c r="C31" s="31" t="n">
        <x:v>28</x:v>
      </x:c>
      <x:c r="D31" s="31" t="str">
        <x:v>Dashboard pages</x:v>
      </x:c>
      <x:c r="E31" s="31" t="n">
        <x:v>8</x:v>
      </x:c>
      <x:c r="F31" s="31" t="str">
        <x:v>Not Started</x:v>
      </x:c>
      <x:c r="G31" s="31" t="str">
        <x:v>Critical</x:v>
      </x:c>
      <x:c r="H31" s="31" t="str"/>
      <x:c r="I31" s="31" t="str"/>
      <x:c r="J31" s="31" t="str"/>
      <x:c r="K31" s="31" t="str"/>
    </x:row>
    <x:row r="32">
      <x:c r="A32" s="31" t="str">
        <x:v>Project 3 — AI Engineering Command Center</x:v>
      </x:c>
      <x:c r="B32" s="31" t="str">
        <x:v>Backend</x:v>
      </x:c>
      <x:c r="C32" s="31" t="n">
        <x:v>29</x:v>
      </x:c>
      <x:c r="D32" s="31" t="str">
        <x:v>Projects/models/agents APIs</x:v>
      </x:c>
      <x:c r="E32" s="31" t="n">
        <x:v>8</x:v>
      </x:c>
      <x:c r="F32" s="31" t="str">
        <x:v>Not Started</x:v>
      </x:c>
      <x:c r="G32" s="31" t="str">
        <x:v>Critical</x:v>
      </x:c>
      <x:c r="H32" s="31" t="str"/>
      <x:c r="I32" s="31" t="str"/>
      <x:c r="J32" s="31" t="str"/>
      <x:c r="K32" s="31" t="str"/>
    </x:row>
    <x:row r="33">
      <x:c r="A33" s="31" t="str">
        <x:v>Project 3 — AI Engineering Command Center</x:v>
      </x:c>
      <x:c r="B33" s="31" t="str">
        <x:v>Data</x:v>
      </x:c>
      <x:c r="C33" s="31" t="n">
        <x:v>30</x:v>
      </x:c>
      <x:c r="D33" s="31" t="str">
        <x:v>PostgreSQL + Redis integration</x:v>
      </x:c>
      <x:c r="E33" s="31" t="n">
        <x:v>8</x:v>
      </x:c>
      <x:c r="F33" s="31" t="str">
        <x:v>Not Started</x:v>
      </x:c>
      <x:c r="G33" s="31" t="str">
        <x:v>Critical</x:v>
      </x:c>
      <x:c r="H33" s="31" t="str"/>
      <x:c r="I33" s="31" t="str"/>
      <x:c r="J33" s="31" t="str"/>
      <x:c r="K33" s="31" t="str"/>
    </x:row>
    <x:row r="34">
      <x:c r="A34" s="31" t="str">
        <x:v>Project 3 — AI Engineering Command Center</x:v>
      </x:c>
      <x:c r="B34" s="31" t="str">
        <x:v>Auth</x:v>
      </x:c>
      <x:c r="C34" s="31" t="n">
        <x:v>31</x:v>
      </x:c>
      <x:c r="D34" s="31" t="str">
        <x:v>Authentication/authorization</x:v>
      </x:c>
      <x:c r="E34" s="31" t="n">
        <x:v>8</x:v>
      </x:c>
      <x:c r="F34" s="31" t="str">
        <x:v>Not Started</x:v>
      </x:c>
      <x:c r="G34" s="31" t="str">
        <x:v>Critical</x:v>
      </x:c>
      <x:c r="H34" s="31" t="str"/>
      <x:c r="I34" s="31" t="str"/>
      <x:c r="J34" s="31" t="str"/>
      <x:c r="K34" s="31" t="str"/>
    </x:row>
    <x:row r="35">
      <x:c r="A35" s="31" t="str">
        <x:v>Project 3 — AI Engineering Command Center</x:v>
      </x:c>
      <x:c r="B35" s="31" t="str">
        <x:v>CI/CD</x:v>
      </x:c>
      <x:c r="C35" s="31" t="n">
        <x:v>32</x:v>
      </x:c>
      <x:c r="D35" s="31" t="str">
        <x:v>GitHub Actions pipeline</x:v>
      </x:c>
      <x:c r="E35" s="31" t="n">
        <x:v>9</x:v>
      </x:c>
      <x:c r="F35" s="31" t="str">
        <x:v>Not Started</x:v>
      </x:c>
      <x:c r="G35" s="31" t="str">
        <x:v>Critical</x:v>
      </x:c>
      <x:c r="H35" s="31" t="str"/>
      <x:c r="I35" s="31" t="str"/>
      <x:c r="J35" s="31" t="str"/>
      <x:c r="K35" s="31" t="str"/>
    </x:row>
    <x:row r="36">
      <x:c r="A36" s="31" t="str">
        <x:v>Project 3 — AI Engineering Command Center</x:v>
      </x:c>
      <x:c r="B36" s="31" t="str">
        <x:v>Cloud</x:v>
      </x:c>
      <x:c r="C36" s="31" t="n">
        <x:v>33</x:v>
      </x:c>
      <x:c r="D36" s="31" t="str">
        <x:v>GCP deployment</x:v>
      </x:c>
      <x:c r="E36" s="31" t="n">
        <x:v>9</x:v>
      </x:c>
      <x:c r="F36" s="31" t="str">
        <x:v>Not Started</x:v>
      </x:c>
      <x:c r="G36" s="31" t="str">
        <x:v>Critical</x:v>
      </x:c>
      <x:c r="H36" s="31" t="str"/>
      <x:c r="I36" s="31" t="str"/>
      <x:c r="J36" s="31" t="str"/>
      <x:c r="K36" s="31" t="str"/>
    </x:row>
    <x:row r="37">
      <x:c r="A37" s="31" t="str">
        <x:v>All</x:v>
      </x:c>
      <x:c r="B37" s="31" t="str">
        <x:v>Testing</x:v>
      </x:c>
      <x:c r="C37" s="31" t="n">
        <x:v>34</x:v>
      </x:c>
      <x:c r="D37" s="31" t="str">
        <x:v>Unit + integration + e2e coverage</x:v>
      </x:c>
      <x:c r="E37" s="31" t="n">
        <x:v>10</x:v>
      </x:c>
      <x:c r="F37" s="31" t="str">
        <x:v>Not Started</x:v>
      </x:c>
      <x:c r="G37" s="31" t="str">
        <x:v>Critical</x:v>
      </x:c>
      <x:c r="H37" s="31" t="str"/>
      <x:c r="I37" s="31" t="str"/>
      <x:c r="J37" s="31" t="str"/>
      <x:c r="K37" s="31" t="str"/>
    </x:row>
    <x:row r="38">
      <x:c r="A38" s="31" t="str">
        <x:v>All</x:v>
      </x:c>
      <x:c r="B38" s="31" t="str">
        <x:v>Security</x:v>
      </x:c>
      <x:c r="C38" s="31" t="n">
        <x:v>35</x:v>
      </x:c>
      <x:c r="D38" s="31" t="str">
        <x:v>Secrets + validation + rate limiting</x:v>
      </x:c>
      <x:c r="E38" s="31" t="n">
        <x:v>10</x:v>
      </x:c>
      <x:c r="F38" s="31" t="str">
        <x:v>Not Started</x:v>
      </x:c>
      <x:c r="G38" s="31" t="str">
        <x:v>Critical</x:v>
      </x:c>
      <x:c r="H38" s="31" t="str"/>
      <x:c r="I38" s="31" t="str"/>
      <x:c r="J38" s="31" t="str"/>
      <x:c r="K38" s="31" t="str"/>
    </x:row>
    <x:row r="39">
      <x:c r="A39" s="31" t="str">
        <x:v>All</x:v>
      </x:c>
      <x:c r="B39" s="31" t="str">
        <x:v>Reliability</x:v>
      </x:c>
      <x:c r="C39" s="31" t="n">
        <x:v>36</x:v>
      </x:c>
      <x:c r="D39" s="31" t="str">
        <x:v>Retries + timeouts + circuit breaker</x:v>
      </x:c>
      <x:c r="E39" s="31" t="n">
        <x:v>10</x:v>
      </x:c>
      <x:c r="F39" s="31" t="str">
        <x:v>Not Started</x:v>
      </x:c>
      <x:c r="G39" s="31" t="str">
        <x:v>Critical</x:v>
      </x:c>
      <x:c r="H39" s="31" t="str"/>
      <x:c r="I39" s="31" t="str"/>
      <x:c r="J39" s="31" t="str"/>
      <x:c r="K39" s="31" t="str"/>
    </x:row>
    <x:row r="40">
      <x:c r="A40" s="31" t="str">
        <x:v>All</x:v>
      </x:c>
      <x:c r="B40" s="31" t="str">
        <x:v>Documentation</x:v>
      </x:c>
      <x:c r="C40" s="31" t="n">
        <x:v>37</x:v>
      </x:c>
      <x:c r="D40" s="31" t="str">
        <x:v>Architecture + API + deployment docs</x:v>
      </x:c>
      <x:c r="E40" s="31" t="n">
        <x:v>11</x:v>
      </x:c>
      <x:c r="F40" s="31" t="str">
        <x:v>Not Started</x:v>
      </x:c>
      <x:c r="G40" s="31" t="str">
        <x:v>Critical</x:v>
      </x:c>
      <x:c r="H40" s="31" t="str"/>
      <x:c r="I40" s="31" t="str"/>
      <x:c r="J40" s="31" t="str"/>
      <x:c r="K40" s="31" t="str"/>
    </x:row>
    <x:row r="41">
      <x:c r="A41" s="31" t="str">
        <x:v>All</x:v>
      </x:c>
      <x:c r="B41" s="31" t="str">
        <x:v>Portfolio</x:v>
      </x:c>
      <x:c r="C41" s="31" t="n">
        <x:v>38</x:v>
      </x:c>
      <x:c r="D41" s="31" t="str">
        <x:v>Case study pages</x:v>
      </x:c>
      <x:c r="E41" s="31" t="n">
        <x:v>11</x:v>
      </x:c>
      <x:c r="F41" s="31" t="str">
        <x:v>Not Started</x:v>
      </x:c>
      <x:c r="G41" s="31" t="str">
        <x:v>Critical</x:v>
      </x:c>
      <x:c r="H41" s="31" t="str"/>
      <x:c r="I41" s="31" t="str"/>
      <x:c r="J41" s="31" t="str"/>
      <x:c r="K41" s="31" t="str"/>
    </x:row>
    <x:row r="42">
      <x:c r="A42" s="31" t="str">
        <x:v>All</x:v>
      </x:c>
      <x:c r="B42" s="31" t="str">
        <x:v>Portfolio</x:v>
      </x:c>
      <x:c r="C42" s="31" t="n">
        <x:v>39</x:v>
      </x:c>
      <x:c r="D42" s="31" t="str">
        <x:v>Benchmark charts/results</x:v>
      </x:c>
      <x:c r="E42" s="31" t="n">
        <x:v>11</x:v>
      </x:c>
      <x:c r="F42" s="31" t="str">
        <x:v>Not Started</x:v>
      </x:c>
      <x:c r="G42" s="31" t="str">
        <x:v>Critical</x:v>
      </x:c>
      <x:c r="H42" s="31" t="str"/>
      <x:c r="I42" s="31" t="str"/>
      <x:c r="J42" s="31" t="str"/>
      <x:c r="K42" s="31" t="str"/>
    </x:row>
    <x:row r="43">
      <x:c r="A43" s="31" t="str">
        <x:v>All</x:v>
      </x:c>
      <x:c r="B43" s="31" t="str">
        <x:v>Interview</x:v>
      </x:c>
      <x:c r="C43" s="31" t="n">
        <x:v>40</x:v>
      </x:c>
      <x:c r="D43" s="31" t="str">
        <x:v>30-minute project deep dive</x:v>
      </x:c>
      <x:c r="E43" s="31" t="n">
        <x:v>12</x:v>
      </x:c>
      <x:c r="F43" s="31" t="str">
        <x:v>Not Started</x:v>
      </x:c>
      <x:c r="G43" s="31" t="str">
        <x:v>Critical</x:v>
      </x:c>
      <x:c r="H43" s="31" t="str"/>
      <x:c r="I43" s="31" t="str"/>
      <x:c r="J43" s="31" t="str"/>
      <x:c r="K43" s="31" t="str"/>
    </x:row>
    <x:row r="44">
      <x:c r="A44" s="31" t="str">
        <x:v>All</x:v>
      </x:c>
      <x:c r="B44" s="31" t="str">
        <x:v>Testing</x:v>
      </x:c>
      <x:c r="C44" s="31" t="n">
        <x:v>41</x:v>
      </x:c>
      <x:c r="D44" s="31" t="str">
        <x:v>Load testing baseline</x:v>
      </x:c>
      <x:c r="E44" s="31" t="n">
        <x:v>10</x:v>
      </x:c>
      <x:c r="F44" s="31" t="str">
        <x:v>Not Started</x:v>
      </x:c>
      <x:c r="G44" s="31" t="str">
        <x:v>High</x:v>
      </x:c>
      <x:c r="H44" s="31" t="str"/>
      <x:c r="I44" s="31" t="str"/>
      <x:c r="J44" s="31" t="str"/>
      <x:c r="K44" s="31" t="str"/>
    </x:row>
    <x:row r="45">
      <x:c r="A45" s="31" t="str">
        <x:v>All</x:v>
      </x:c>
      <x:c r="B45" s="31" t="str">
        <x:v>Testing</x:v>
      </x:c>
      <x:c r="C45" s="31" t="n">
        <x:v>42</x:v>
      </x:c>
      <x:c r="D45" s="31" t="str">
        <x:v>Failure injection tests</x:v>
      </x:c>
      <x:c r="E45" s="31" t="n">
        <x:v>10</x:v>
      </x:c>
      <x:c r="F45" s="31" t="str">
        <x:v>Not Started</x:v>
      </x:c>
      <x:c r="G45" s="31" t="str">
        <x:v>High</x:v>
      </x:c>
      <x:c r="H45" s="31" t="str"/>
      <x:c r="I45" s="31" t="str"/>
      <x:c r="J45" s="31" t="str"/>
      <x:c r="K45" s="31" t="str"/>
    </x:row>
    <x:row r="46">
      <x:c r="A46" s="31" t="str">
        <x:v>All</x:v>
      </x:c>
      <x:c r="B46" s="31" t="str">
        <x:v>Architecture</x:v>
      </x:c>
      <x:c r="C46" s="31" t="n">
        <x:v>43</x:v>
      </x:c>
      <x:c r="D46" s="31" t="str">
        <x:v>Scale design for 10x users</x:v>
      </x:c>
      <x:c r="E46" s="31" t="n">
        <x:v>11</x:v>
      </x:c>
      <x:c r="F46" s="31" t="str">
        <x:v>Not Started</x:v>
      </x:c>
      <x:c r="G46" s="31" t="str">
        <x:v>High</x:v>
      </x:c>
      <x:c r="H46" s="31" t="str"/>
      <x:c r="I46" s="31" t="str"/>
      <x:c r="J46" s="31" t="str"/>
      <x:c r="K46" s="31" t="str"/>
    </x:row>
    <x:row r="47">
      <x:c r="A47" s="31" t="str">
        <x:v>All</x:v>
      </x:c>
      <x:c r="B47" s="31" t="str">
        <x:v>Architecture</x:v>
      </x:c>
      <x:c r="C47" s="31" t="n">
        <x:v>44</x:v>
      </x:c>
      <x:c r="D47" s="31" t="str">
        <x:v>Data partitioning strategy</x:v>
      </x:c>
      <x:c r="E47" s="31" t="n">
        <x:v>11</x:v>
      </x:c>
      <x:c r="F47" s="31" t="str">
        <x:v>Not Started</x:v>
      </x:c>
      <x:c r="G47" s="31" t="str">
        <x:v>High</x:v>
      </x:c>
      <x:c r="H47" s="31" t="str"/>
      <x:c r="I47" s="31" t="str"/>
      <x:c r="J47" s="31" t="str"/>
      <x:c r="K47" s="31" t="str"/>
    </x:row>
    <x:row r="48">
      <x:c r="A48" s="31" t="str">
        <x:v>All</x:v>
      </x:c>
      <x:c r="B48" s="31" t="str">
        <x:v>Architecture</x:v>
      </x:c>
      <x:c r="C48" s="31" t="n">
        <x:v>45</x:v>
      </x:c>
      <x:c r="D48" s="31" t="str">
        <x:v>Caching strategy</x:v>
      </x:c>
      <x:c r="E48" s="31" t="n">
        <x:v>11</x:v>
      </x:c>
      <x:c r="F48" s="31" t="str">
        <x:v>Not Started</x:v>
      </x:c>
      <x:c r="G48" s="31" t="str">
        <x:v>High</x:v>
      </x:c>
      <x:c r="H48" s="31" t="str"/>
      <x:c r="I48" s="31" t="str"/>
      <x:c r="J48" s="31" t="str"/>
      <x:c r="K48" s="31" t="str"/>
    </x:row>
    <x:row r="49">
      <x:c r="A49" s="31" t="str">
        <x:v>All</x:v>
      </x:c>
      <x:c r="B49" s="31" t="str">
        <x:v>Architecture</x:v>
      </x:c>
      <x:c r="C49" s="31" t="n">
        <x:v>46</x:v>
      </x:c>
      <x:c r="D49" s="31" t="str">
        <x:v>LLM failure/degradation strategy</x:v>
      </x:c>
      <x:c r="E49" s="31" t="n">
        <x:v>11</x:v>
      </x:c>
      <x:c r="F49" s="31" t="str">
        <x:v>Not Started</x:v>
      </x:c>
      <x:c r="G49" s="31" t="str">
        <x:v>High</x:v>
      </x:c>
      <x:c r="H49" s="31" t="str"/>
      <x:c r="I49" s="31" t="str"/>
      <x:c r="J49" s="31" t="str"/>
      <x:c r="K49" s="31" t="str"/>
    </x:row>
    <x:row r="50">
      <x:c r="A50" s="31" t="str">
        <x:v>All</x:v>
      </x:c>
      <x:c r="B50" s="31" t="str">
        <x:v>Career</x:v>
      </x:c>
      <x:c r="C50" s="31" t="n">
        <x:v>47</x:v>
      </x:c>
      <x:c r="D50" s="31" t="str">
        <x:v>Resume STAR story bank</x:v>
      </x:c>
      <x:c r="E50" s="31" t="n">
        <x:v>11</x:v>
      </x:c>
      <x:c r="F50" s="31" t="str">
        <x:v>Not Started</x:v>
      </x:c>
      <x:c r="G50" s="31" t="str">
        <x:v>High</x:v>
      </x:c>
      <x:c r="H50" s="31" t="str"/>
      <x:c r="I50" s="31" t="str"/>
      <x:c r="J50" s="31" t="str"/>
      <x:c r="K50" s="31" t="str"/>
    </x:row>
    <x:row r="51">
      <x:c r="A51" s="31" t="str">
        <x:v>All</x:v>
      </x:c>
      <x:c r="B51" s="31" t="str">
        <x:v>Career</x:v>
      </x:c>
      <x:c r="C51" s="31" t="n">
        <x:v>48</x:v>
      </x:c>
      <x:c r="D51" s="31" t="str">
        <x:v>LinkedIn/GitHub cleanup</x:v>
      </x:c>
      <x:c r="E51" s="31" t="n">
        <x:v>8</x:v>
      </x:c>
      <x:c r="F51" s="31" t="str">
        <x:v>Not Started</x:v>
      </x:c>
      <x:c r="G51" s="31" t="str">
        <x:v>High</x:v>
      </x:c>
      <x:c r="H51" s="31" t="str"/>
      <x:c r="I51" s="31" t="str"/>
      <x:c r="J51" s="31" t="str"/>
      <x:c r="K51" s="31" t="str"/>
    </x:row>
    <x:row r="52">
      <x:c r="A52" s="31" t="str">
        <x:v>All</x:v>
      </x:c>
      <x:c r="B52" s="31" t="str">
        <x:v>Career</x:v>
      </x:c>
      <x:c r="C52" s="31" t="n">
        <x:v>49</x:v>
      </x:c>
      <x:c r="D52" s="31" t="str">
        <x:v>Create referral tracker</x:v>
      </x:c>
      <x:c r="E52" s="31" t="n">
        <x:v>9</x:v>
      </x:c>
      <x:c r="F52" s="31" t="str">
        <x:v>Not Started</x:v>
      </x:c>
      <x:c r="G52" s="31" t="str">
        <x:v>High</x:v>
      </x:c>
      <x:c r="H52" s="31" t="str"/>
      <x:c r="I52" s="31" t="str"/>
      <x:c r="J52" s="31" t="str"/>
      <x:c r="K52" s="31" t="str"/>
    </x:row>
    <x:row r="53">
      <x:c r="A53" s="31" t="str">
        <x:v>All</x:v>
      </x:c>
      <x:c r="B53" s="31" t="str">
        <x:v>Career</x:v>
      </x:c>
      <x:c r="C53" s="31" t="n">
        <x:v>50</x:v>
      </x:c>
      <x:c r="D53" s="31" t="str">
        <x:v>Mock interview #1</x:v>
      </x:c>
      <x:c r="E53" s="31" t="n">
        <x:v>11</x:v>
      </x:c>
      <x:c r="F53" s="31" t="str">
        <x:v>Not Started</x:v>
      </x:c>
      <x:c r="G53" s="31" t="str">
        <x:v>High</x:v>
      </x:c>
      <x:c r="H53" s="31" t="str"/>
      <x:c r="I53" s="31" t="str"/>
      <x:c r="J53" s="31" t="str"/>
      <x:c r="K53" s="31" t="str"/>
    </x:row>
    <x:row r="54">
      <x:c r="A54" s="31" t="str">
        <x:v>All</x:v>
      </x:c>
      <x:c r="B54" s="31" t="str">
        <x:v>Career</x:v>
      </x:c>
      <x:c r="C54" s="31" t="n">
        <x:v>51</x:v>
      </x:c>
      <x:c r="D54" s="31" t="str">
        <x:v>Mock interview #2</x:v>
      </x:c>
      <x:c r="E54" s="31" t="n">
        <x:v>11</x:v>
      </x:c>
      <x:c r="F54" s="31" t="str">
        <x:v>Not Started</x:v>
      </x:c>
      <x:c r="G54" s="31" t="str">
        <x:v>High</x:v>
      </x:c>
      <x:c r="H54" s="31" t="str"/>
      <x:c r="I54" s="31" t="str"/>
      <x:c r="J54" s="31" t="str"/>
      <x:c r="K54" s="31" t="str"/>
    </x:row>
    <x:row r="55">
      <x:c r="A55" s="31" t="str">
        <x:v>All</x:v>
      </x:c>
      <x:c r="B55" s="31" t="str">
        <x:v>Career</x:v>
      </x:c>
      <x:c r="C55" s="31" t="n">
        <x:v>52</x:v>
      </x:c>
      <x:c r="D55" s="31" t="str">
        <x:v>Mock interview #3</x:v>
      </x:c>
      <x:c r="E55" s="31" t="n">
        <x:v>11</x:v>
      </x:c>
      <x:c r="F55" s="31" t="str">
        <x:v>Not Started</x:v>
      </x:c>
      <x:c r="G55" s="31" t="str">
        <x:v>High</x:v>
      </x:c>
      <x:c r="H55" s="31" t="str"/>
      <x:c r="I55" s="31" t="str"/>
      <x:c r="J55" s="31" t="str"/>
      <x:c r="K55" s="31" t="str"/>
    </x:row>
    <x:row r="56">
      <x:c r="A56" s="31" t="str">
        <x:v>All</x:v>
      </x:c>
      <x:c r="B56" s="31" t="str">
        <x:v>Career</x:v>
      </x:c>
      <x:c r="C56" s="31" t="n">
        <x:v>53</x:v>
      </x:c>
      <x:c r="D56" s="31" t="str">
        <x:v>Mock interview #4</x:v>
      </x:c>
      <x:c r="E56" s="31" t="n">
        <x:v>12</x:v>
      </x:c>
      <x:c r="F56" s="31" t="str">
        <x:v>Not Started</x:v>
      </x:c>
      <x:c r="G56" s="31" t="str">
        <x:v>High</x:v>
      </x:c>
      <x:c r="H56" s="31" t="str"/>
      <x:c r="I56" s="31" t="str"/>
      <x:c r="J56" s="31" t="str"/>
      <x:c r="K56" s="31" t="str"/>
    </x:row>
    <x:row r="57">
      <x:c r="A57" s="31" t="str">
        <x:v>All</x:v>
      </x:c>
      <x:c r="B57" s="31" t="str">
        <x:v>Career</x:v>
      </x:c>
      <x:c r="C57" s="31" t="n">
        <x:v>54</x:v>
      </x:c>
      <x:c r="D57" s="31" t="str">
        <x:v>Mock interview #5</x:v>
      </x:c>
      <x:c r="E57" s="31" t="n">
        <x:v>12</x:v>
      </x:c>
      <x:c r="F57" s="31" t="str">
        <x:v>Not Started</x:v>
      </x:c>
      <x:c r="G57" s="31" t="str">
        <x:v>High</x:v>
      </x:c>
      <x:c r="H57" s="31" t="str"/>
      <x:c r="I57" s="31" t="str"/>
      <x:c r="J57" s="31" t="str"/>
      <x:c r="K57" s="31" t="str"/>
    </x:row>
    <x:row r="58">
      <x:c r="A58" s="31" t="str">
        <x:v>All</x:v>
      </x:c>
      <x:c r="B58" s="31" t="str">
        <x:v>Career</x:v>
      </x:c>
      <x:c r="C58" s="31" t="n">
        <x:v>55</x:v>
      </x:c>
      <x:c r="D58" s="31" t="str">
        <x:v>Mock interview #6</x:v>
      </x:c>
      <x:c r="E58" s="31" t="n">
        <x:v>12</x:v>
      </x:c>
      <x:c r="F58" s="31" t="str">
        <x:v>Not Started</x:v>
      </x:c>
      <x:c r="G58" s="31" t="str">
        <x:v>High</x:v>
      </x:c>
      <x:c r="H58" s="31" t="str"/>
      <x:c r="I58" s="31" t="str"/>
      <x:c r="J58" s="31" t="str"/>
      <x:c r="K58" s="31" t="str"/>
    </x:row>
    <x:row r="59">
      <x:c r="A59" s="31" t="str">
        <x:v>All</x:v>
      </x:c>
      <x:c r="B59" s="31" t="str">
        <x:v>Career</x:v>
      </x:c>
      <x:c r="C59" s="31" t="n">
        <x:v>56</x:v>
      </x:c>
      <x:c r="D59" s="31" t="str">
        <x:v>Final resume review</x:v>
      </x:c>
      <x:c r="E59" s="31" t="n">
        <x:v>12</x:v>
      </x:c>
      <x:c r="F59" s="31" t="str">
        <x:v>Not Started</x:v>
      </x:c>
      <x:c r="G59" s="31" t="str">
        <x:v>High</x:v>
      </x:c>
      <x:c r="H59" s="31" t="str"/>
      <x:c r="I59" s="31" t="str"/>
      <x:c r="J59" s="31" t="str"/>
      <x:c r="K59" s="31" t="str"/>
    </x:row>
    <x:row r="60">
      <x:c r="A60" s="31" t="str">
        <x:v>All</x:v>
      </x:c>
      <x:c r="B60" s="31" t="str">
        <x:v>Career</x:v>
      </x:c>
      <x:c r="C60" s="31" t="n">
        <x:v>57</x:v>
      </x:c>
      <x:c r="D60" s="31" t="str">
        <x:v>Targeted Google applications</x:v>
      </x:c>
      <x:c r="E60" s="31" t="n">
        <x:v>12</x:v>
      </x:c>
      <x:c r="F60" s="31" t="str">
        <x:v>Not Started</x:v>
      </x:c>
      <x:c r="G60" s="31" t="str">
        <x:v>High</x:v>
      </x:c>
      <x:c r="H60" s="31" t="str"/>
      <x:c r="I60" s="31" t="str"/>
      <x:c r="J60" s="31" t="str"/>
      <x:c r="K60" s="31" t="str"/>
    </x:row>
    <x:row r="61">
      <x:c r="A61" s="31" t="str">
        <x:v>All</x:v>
      </x:c>
      <x:c r="B61" s="31" t="str">
        <x:v>Career</x:v>
      </x:c>
      <x:c r="C61" s="31" t="n">
        <x:v>58</x:v>
      </x:c>
      <x:c r="D61" s="31" t="str">
        <x:v>Targeted non-Google applications</x:v>
      </x:c>
      <x:c r="E61" s="31" t="n">
        <x:v>12</x:v>
      </x:c>
      <x:c r="F61" s="31" t="str">
        <x:v>Not Started</x:v>
      </x:c>
      <x:c r="G61" s="31" t="str">
        <x:v>High</x:v>
      </x:c>
      <x:c r="H61" s="31" t="str"/>
      <x:c r="I61" s="31" t="str"/>
      <x:c r="J61" s="31" t="str"/>
      <x:c r="K61" s="31" t="str"/>
    </x:row>
    <x:row r="62">
      <x:c r="A62" s="31" t="str">
        <x:v>All</x:v>
      </x:c>
      <x:c r="B62" s="31" t="str">
        <x:v>Career</x:v>
      </x:c>
      <x:c r="C62" s="31" t="n">
        <x:v>59</x:v>
      </x:c>
      <x:c r="D62" s="31" t="str">
        <x:v>Project demo video</x:v>
      </x:c>
      <x:c r="E62" s="31" t="n">
        <x:v>11</x:v>
      </x:c>
      <x:c r="F62" s="31" t="str">
        <x:v>Not Started</x:v>
      </x:c>
      <x:c r="G62" s="31" t="str">
        <x:v>High</x:v>
      </x:c>
      <x:c r="H62" s="31" t="str"/>
      <x:c r="I62" s="31" t="str"/>
      <x:c r="J62" s="31" t="str"/>
      <x:c r="K62" s="31" t="str"/>
    </x:row>
    <x:row r="63">
      <x:c r="A63" s="31" t="str">
        <x:v>All</x:v>
      </x:c>
      <x:c r="B63" s="31" t="str">
        <x:v>Career</x:v>
      </x:c>
      <x:c r="C63" s="31" t="n">
        <x:v>60</x:v>
      </x:c>
      <x:c r="D63" s="31" t="str">
        <x:v>Portfolio final QA</x:v>
      </x:c>
      <x:c r="E63" s="31" t="n">
        <x:v>12</x:v>
      </x:c>
      <x:c r="F63" s="31" t="str">
        <x:v>Not Started</x:v>
      </x:c>
      <x:c r="G63" s="31" t="str">
        <x:v>High</x:v>
      </x:c>
      <x:c r="H63" s="31" t="str"/>
      <x:c r="I63" s="31" t="str"/>
      <x:c r="J63" s="31" t="str"/>
      <x:c r="K63" s="31" t="str"/>
    </x:row>
  </x:sheetData>
  <x:mergeCells>
    <x:mergeCell ref="A1:K1"/>
  </x:mergeCells>
  <x:conditionalFormatting sqref="F4:F63">
    <x:cfRule type="expression" dxfId="4" priority="1">
      <x:formula>F4="Done"</x:formula>
    </x:cfRule>
    <x:cfRule type="expression" dxfId="5" priority="2">
      <x:formula>F4="Blocked"</x:formula>
    </x:cfRule>
  </x:conditionalFormatting>
  <x:dataValidations count="2">
    <x:dataValidation type="list" sqref="F4:F63">
      <x:formula1>"Not Started,In Progress,Blocked,Done"</x:formula1>
    </x:dataValidation>
    <x:dataValidation type="list" sqref="G4:G63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fbd80928a714df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0" hidden="0" customWidth="1"/>
    <x:col min="3" max="3" width="20" hidden="0" customWidth="1"/>
    <x:col min="4" max="4" width="36" hidden="0" customWidth="1"/>
    <x:col min="5" max="5" width="14" hidden="0" customWidth="1"/>
    <x:col min="6" max="6" width="16" hidden="0" customWidth="1"/>
    <x:col min="7" max="7" width="30" hidden="0" customWidth="1"/>
    <x:col min="8" max="8" width="32" hidden="0" customWidth="1"/>
    <x:col min="9" max="9" width="28" hidden="0" customWidth="1"/>
    <x:col min="10" max="10" width="12" hidden="0" customWidth="1"/>
  </x:cols>
  <x:sheetData>
    <x:row r="1" ht="28" customHeight="1">
      <x:c r="A1" s="5" t="str">
        <x:v>SYSTEM DESIGN PRACTICE — 30 DESIGNS</x:v>
      </x:c>
    </x:row>
    <x:row r="3">
      <x:c r="A3" s="25" t="str">
        <x:v>#</x:v>
      </x:c>
      <x:c r="B3" s="25" t="str">
        <x:v>Problem</x:v>
      </x:c>
      <x:c r="C3" s="25" t="str">
        <x:v>Category</x:v>
      </x:c>
      <x:c r="D3" s="25" t="str">
        <x:v>Practice Target</x:v>
      </x:c>
      <x:c r="E3" s="25" t="str">
        <x:v>Date</x:v>
      </x:c>
      <x:c r="F3" s="25" t="str">
        <x:v>Status</x:v>
      </x:c>
      <x:c r="G3" s="25" t="str">
        <x:v>Notes</x:v>
      </x:c>
      <x:c r="H3" s="25" t="str">
        <x:v>Key Components</x:v>
      </x:c>
      <x:c r="I3" s="25" t="str">
        <x:v>Scale/Numbers</x:v>
      </x:c>
      <x:c r="J3" s="25" t="str">
        <x:v>Mock Score</x:v>
      </x:c>
    </x:row>
    <x:row r="4">
      <x:c r="A4" s="31" t="n">
        <x:v>1</x:v>
      </x:c>
      <x:c r="B4" s="31" t="str">
        <x:v>URL Shortener</x:v>
      </x:c>
      <x:c r="C4" s="31" t="str">
        <x:v>Distributed Systems</x:v>
      </x:c>
      <x:c r="D4" s="31" t="str">
        <x:v>Requirements → API → DB → cache</x:v>
      </x:c>
      <x:c r="E4" s="31" t="str"/>
      <x:c r="F4" s="31" t="str">
        <x:v>Not Started</x:v>
      </x:c>
      <x:c r="G4" s="31" t="str"/>
      <x:c r="H4" s="31" t="str"/>
      <x:c r="I4" s="31" t="str"/>
      <x:c r="J4" s="37" t="str"/>
    </x:row>
    <x:row r="5">
      <x:c r="A5" s="31" t="n">
        <x:v>2</x:v>
      </x:c>
      <x:c r="B5" s="31" t="str">
        <x:v>Rate Limiter</x:v>
      </x:c>
      <x:c r="C5" s="31" t="str">
        <x:v>Distributed Systems</x:v>
      </x:c>
      <x:c r="D5" s="31" t="str">
        <x:v>Algorithms + Redis</x:v>
      </x:c>
      <x:c r="E5" s="31" t="str"/>
      <x:c r="F5" s="31" t="str">
        <x:v>Not Started</x:v>
      </x:c>
      <x:c r="G5" s="31" t="str"/>
      <x:c r="H5" s="31" t="str"/>
      <x:c r="I5" s="31" t="str"/>
      <x:c r="J5" s="37" t="str"/>
    </x:row>
    <x:row r="6">
      <x:c r="A6" s="31" t="n">
        <x:v>3</x:v>
      </x:c>
      <x:c r="B6" s="31" t="str">
        <x:v>Notification System</x:v>
      </x:c>
      <x:c r="C6" s="31" t="str">
        <x:v>Distributed Systems</x:v>
      </x:c>
      <x:c r="D6" s="31" t="str">
        <x:v>Queues + retries</x:v>
      </x:c>
      <x:c r="E6" s="31" t="str"/>
      <x:c r="F6" s="31" t="str">
        <x:v>Not Started</x:v>
      </x:c>
      <x:c r="G6" s="31" t="str"/>
      <x:c r="H6" s="31" t="str"/>
      <x:c r="I6" s="31" t="str"/>
      <x:c r="J6" s="37" t="str"/>
    </x:row>
    <x:row r="7">
      <x:c r="A7" s="31" t="n">
        <x:v>4</x:v>
      </x:c>
      <x:c r="B7" s="31" t="str">
        <x:v>Chat System</x:v>
      </x:c>
      <x:c r="C7" s="31" t="str">
        <x:v>Distributed Systems</x:v>
      </x:c>
      <x:c r="D7" s="31" t="str">
        <x:v>WebSockets + storage</x:v>
      </x:c>
      <x:c r="E7" s="31" t="str"/>
      <x:c r="F7" s="31" t="str">
        <x:v>Not Started</x:v>
      </x:c>
      <x:c r="G7" s="31" t="str"/>
      <x:c r="H7" s="31" t="str"/>
      <x:c r="I7" s="31" t="str"/>
      <x:c r="J7" s="37" t="str"/>
    </x:row>
    <x:row r="8">
      <x:c r="A8" s="31" t="n">
        <x:v>5</x:v>
      </x:c>
      <x:c r="B8" s="31" t="str">
        <x:v>File Storage</x:v>
      </x:c>
      <x:c r="C8" s="31" t="str">
        <x:v>Distributed Systems</x:v>
      </x:c>
      <x:c r="D8" s="31" t="str">
        <x:v>Object storage + metadata</x:v>
      </x:c>
      <x:c r="E8" s="31" t="str"/>
      <x:c r="F8" s="31" t="str">
        <x:v>Not Started</x:v>
      </x:c>
      <x:c r="G8" s="31" t="str"/>
      <x:c r="H8" s="31" t="str"/>
      <x:c r="I8" s="31" t="str"/>
      <x:c r="J8" s="37" t="str"/>
    </x:row>
    <x:row r="9">
      <x:c r="A9" s="31" t="n">
        <x:v>6</x:v>
      </x:c>
      <x:c r="B9" s="31" t="str">
        <x:v>Task Scheduler</x:v>
      </x:c>
      <x:c r="C9" s="31" t="str">
        <x:v>Distributed Systems</x:v>
      </x:c>
      <x:c r="D9" s="31" t="str">
        <x:v>Queues + workers</x:v>
      </x:c>
      <x:c r="E9" s="31" t="str"/>
      <x:c r="F9" s="31" t="str">
        <x:v>Not Started</x:v>
      </x:c>
      <x:c r="G9" s="31" t="str"/>
      <x:c r="H9" s="31" t="str"/>
      <x:c r="I9" s="31" t="str"/>
      <x:c r="J9" s="37" t="str"/>
    </x:row>
    <x:row r="10">
      <x:c r="A10" s="31" t="n">
        <x:v>7</x:v>
      </x:c>
      <x:c r="B10" s="31" t="str">
        <x:v>Recommendation System</x:v>
      </x:c>
      <x:c r="C10" s="31" t="str">
        <x:v>ML Systems</x:v>
      </x:c>
      <x:c r="D10" s="31" t="str">
        <x:v>Features + retrieval + ranking</x:v>
      </x:c>
      <x:c r="E10" s="31" t="str"/>
      <x:c r="F10" s="31" t="str">
        <x:v>Not Started</x:v>
      </x:c>
      <x:c r="G10" s="31" t="str"/>
      <x:c r="H10" s="31" t="str"/>
      <x:c r="I10" s="31" t="str"/>
      <x:c r="J10" s="37" t="str"/>
    </x:row>
    <x:row r="11">
      <x:c r="A11" s="31" t="n">
        <x:v>8</x:v>
      </x:c>
      <x:c r="B11" s="31" t="str">
        <x:v>Feature Store</x:v>
      </x:c>
      <x:c r="C11" s="31" t="str">
        <x:v>ML Systems</x:v>
      </x:c>
      <x:c r="D11" s="31" t="str">
        <x:v>Offline/online consistency</x:v>
      </x:c>
      <x:c r="E11" s="31" t="str"/>
      <x:c r="F11" s="31" t="str">
        <x:v>Not Started</x:v>
      </x:c>
      <x:c r="G11" s="31" t="str"/>
      <x:c r="H11" s="31" t="str"/>
      <x:c r="I11" s="31" t="str"/>
      <x:c r="J11" s="37" t="str"/>
    </x:row>
    <x:row r="12">
      <x:c r="A12" s="31" t="n">
        <x:v>9</x:v>
      </x:c>
      <x:c r="B12" s="31" t="str">
        <x:v>Model Serving Platform</x:v>
      </x:c>
      <x:c r="C12" s="31" t="str">
        <x:v>ML Systems</x:v>
      </x:c>
      <x:c r="D12" s="31" t="str">
        <x:v>Autoscaling + canary</x:v>
      </x:c>
      <x:c r="E12" s="31" t="str"/>
      <x:c r="F12" s="31" t="str">
        <x:v>Not Started</x:v>
      </x:c>
      <x:c r="G12" s="31" t="str"/>
      <x:c r="H12" s="31" t="str"/>
      <x:c r="I12" s="31" t="str"/>
      <x:c r="J12" s="37" t="str"/>
    </x:row>
    <x:row r="13">
      <x:c r="A13" s="31" t="n">
        <x:v>10</x:v>
      </x:c>
      <x:c r="B13" s="31" t="str">
        <x:v>RAG Platform</x:v>
      </x:c>
      <x:c r="C13" s="31" t="str">
        <x:v>GenAI Systems</x:v>
      </x:c>
      <x:c r="D13" s="31" t="str">
        <x:v>Retrieval + evaluation</x:v>
      </x:c>
      <x:c r="E13" s="31" t="str"/>
      <x:c r="F13" s="31" t="str">
        <x:v>Not Started</x:v>
      </x:c>
      <x:c r="G13" s="31" t="str"/>
      <x:c r="H13" s="31" t="str"/>
      <x:c r="I13" s="31" t="str"/>
      <x:c r="J13" s="37" t="str"/>
    </x:row>
    <x:row r="14">
      <x:c r="A14" s="31" t="n">
        <x:v>11</x:v>
      </x:c>
      <x:c r="B14" s="31" t="str">
        <x:v>LLM Inference Service</x:v>
      </x:c>
      <x:c r="C14" s="31" t="str">
        <x:v>GenAI Systems</x:v>
      </x:c>
      <x:c r="D14" s="31" t="str">
        <x:v>Latency + batching</x:v>
      </x:c>
      <x:c r="E14" s="31" t="str"/>
      <x:c r="F14" s="31" t="str">
        <x:v>Not Started</x:v>
      </x:c>
      <x:c r="G14" s="31" t="str"/>
      <x:c r="H14" s="31" t="str"/>
      <x:c r="I14" s="31" t="str"/>
      <x:c r="J14" s="37" t="str"/>
    </x:row>
    <x:row r="15">
      <x:c r="A15" s="31" t="n">
        <x:v>12</x:v>
      </x:c>
      <x:c r="B15" s="31" t="str">
        <x:v>Vector Search Platform</x:v>
      </x:c>
      <x:c r="C15" s="31" t="str">
        <x:v>GenAI Systems</x:v>
      </x:c>
      <x:c r="D15" s="31" t="str">
        <x:v>Indexing + partitioning</x:v>
      </x:c>
      <x:c r="E15" s="31" t="str"/>
      <x:c r="F15" s="31" t="str">
        <x:v>Not Started</x:v>
      </x:c>
      <x:c r="G15" s="31" t="str"/>
      <x:c r="H15" s="31" t="str"/>
      <x:c r="I15" s="31" t="str"/>
      <x:c r="J15" s="37" t="str"/>
    </x:row>
    <x:row r="16">
      <x:c r="A16" s="31" t="n">
        <x:v>13</x:v>
      </x:c>
      <x:c r="B16" s="31" t="str">
        <x:v>Agent Platform</x:v>
      </x:c>
      <x:c r="C16" s="31" t="str">
        <x:v>GenAI Systems</x:v>
      </x:c>
      <x:c r="D16" s="31" t="str">
        <x:v>Tools + state + governance</x:v>
      </x:c>
      <x:c r="E16" s="31" t="str"/>
      <x:c r="F16" s="31" t="str">
        <x:v>Not Started</x:v>
      </x:c>
      <x:c r="G16" s="31" t="str"/>
      <x:c r="H16" s="31" t="str"/>
      <x:c r="I16" s="31" t="str"/>
      <x:c r="J16" s="37" t="str"/>
    </x:row>
    <x:row r="17">
      <x:c r="A17" s="31" t="n">
        <x:v>14</x:v>
      </x:c>
      <x:c r="B17" s="31" t="str">
        <x:v>ML Training Platform</x:v>
      </x:c>
      <x:c r="C17" s="31" t="str">
        <x:v>ML Systems</x:v>
      </x:c>
      <x:c r="D17" s="31" t="str">
        <x:v>Data → training → registry</x:v>
      </x:c>
      <x:c r="E17" s="31" t="str"/>
      <x:c r="F17" s="31" t="str">
        <x:v>Not Started</x:v>
      </x:c>
      <x:c r="G17" s="31" t="str"/>
      <x:c r="H17" s="31" t="str"/>
      <x:c r="I17" s="31" t="str"/>
      <x:c r="J17" s="37" t="str"/>
    </x:row>
    <x:row r="18">
      <x:c r="A18" s="31" t="n">
        <x:v>15</x:v>
      </x:c>
      <x:c r="B18" s="31" t="str">
        <x:v>Experiment Tracking Platform</x:v>
      </x:c>
      <x:c r="C18" s="31" t="str">
        <x:v>ML Systems</x:v>
      </x:c>
      <x:c r="D18" s="31" t="str">
        <x:v>Metadata + lineage</x:v>
      </x:c>
      <x:c r="E18" s="31" t="str"/>
      <x:c r="F18" s="31" t="str">
        <x:v>Not Started</x:v>
      </x:c>
      <x:c r="G18" s="31" t="str"/>
      <x:c r="H18" s="31" t="str"/>
      <x:c r="I18" s="31" t="str"/>
      <x:c r="J18" s="37" t="str"/>
    </x:row>
    <x:row r="19">
      <x:c r="A19" s="31" t="n">
        <x:v>16</x:v>
      </x:c>
      <x:c r="B19" s="31" t="str">
        <x:v>Model Monitoring Platform</x:v>
      </x:c>
      <x:c r="C19" s="31" t="str">
        <x:v>ML Systems</x:v>
      </x:c>
      <x:c r="D19" s="31" t="str">
        <x:v>Drift + alerting</x:v>
      </x:c>
      <x:c r="E19" s="31" t="str"/>
      <x:c r="F19" s="31" t="str">
        <x:v>Not Started</x:v>
      </x:c>
      <x:c r="G19" s="31" t="str"/>
      <x:c r="H19" s="31" t="str"/>
      <x:c r="I19" s="31" t="str"/>
      <x:c r="J19" s="37" t="str"/>
    </x:row>
    <x:row r="20">
      <x:c r="A20" s="31" t="n">
        <x:v>17</x:v>
      </x:c>
      <x:c r="B20" s="31" t="str">
        <x:v>CI/CD Platform</x:v>
      </x:c>
      <x:c r="C20" s="31" t="str">
        <x:v>Cloud</x:v>
      </x:c>
      <x:c r="D20" s="31" t="str">
        <x:v>Build → test → deploy</x:v>
      </x:c>
      <x:c r="E20" s="31" t="str"/>
      <x:c r="F20" s="31" t="str">
        <x:v>Not Started</x:v>
      </x:c>
      <x:c r="G20" s="31" t="str"/>
      <x:c r="H20" s="31" t="str"/>
      <x:c r="I20" s="31" t="str"/>
      <x:c r="J20" s="37" t="str"/>
    </x:row>
    <x:row r="21">
      <x:c r="A21" s="31" t="n">
        <x:v>18</x:v>
      </x:c>
      <x:c r="B21" s="31" t="str">
        <x:v>Metrics/Logging Platform</x:v>
      </x:c>
      <x:c r="C21" s="31" t="str">
        <x:v>Cloud</x:v>
      </x:c>
      <x:c r="D21" s="31" t="str">
        <x:v>Ingestion + aggregation</x:v>
      </x:c>
      <x:c r="E21" s="31" t="str"/>
      <x:c r="F21" s="31" t="str">
        <x:v>Not Started</x:v>
      </x:c>
      <x:c r="G21" s="31" t="str"/>
      <x:c r="H21" s="31" t="str"/>
      <x:c r="I21" s="31" t="str"/>
      <x:c r="J21" s="37" t="str"/>
    </x:row>
    <x:row r="22">
      <x:c r="A22" s="31" t="n">
        <x:v>19</x:v>
      </x:c>
      <x:c r="B22" s="31" t="str">
        <x:v>API Gateway</x:v>
      </x:c>
      <x:c r="C22" s="31" t="str">
        <x:v>Backend</x:v>
      </x:c>
      <x:c r="D22" s="31" t="str">
        <x:v>Auth + routing + rate limits</x:v>
      </x:c>
      <x:c r="E22" s="31" t="str"/>
      <x:c r="F22" s="31" t="str">
        <x:v>Not Started</x:v>
      </x:c>
      <x:c r="G22" s="31" t="str"/>
      <x:c r="H22" s="31" t="str"/>
      <x:c r="I22" s="31" t="str"/>
      <x:c r="J22" s="37" t="str"/>
    </x:row>
    <x:row r="23">
      <x:c r="A23" s="31" t="n">
        <x:v>20</x:v>
      </x:c>
      <x:c r="B23" s="31" t="str">
        <x:v>Job Queue</x:v>
      </x:c>
      <x:c r="C23" s="31" t="str">
        <x:v>Backend</x:v>
      </x:c>
      <x:c r="D23" s="31" t="str">
        <x:v>At-least-once + idempotency</x:v>
      </x:c>
      <x:c r="E23" s="31" t="str"/>
      <x:c r="F23" s="31" t="str">
        <x:v>Not Started</x:v>
      </x:c>
      <x:c r="G23" s="31" t="str"/>
      <x:c r="H23" s="31" t="str"/>
      <x:c r="I23" s="31" t="str"/>
      <x:c r="J23" s="37" t="str"/>
    </x:row>
    <x:row r="24">
      <x:c r="A24" s="31" t="n">
        <x:v>21</x:v>
      </x:c>
      <x:c r="B24" s="31" t="str">
        <x:v>Search Engine</x:v>
      </x:c>
      <x:c r="C24" s="31" t="str">
        <x:v>Backend</x:v>
      </x:c>
      <x:c r="D24" s="31" t="str">
        <x:v>Index + retrieval</x:v>
      </x:c>
      <x:c r="E24" s="31" t="str"/>
      <x:c r="F24" s="31" t="str">
        <x:v>Not Started</x:v>
      </x:c>
      <x:c r="G24" s="31" t="str"/>
      <x:c r="H24" s="31" t="str"/>
      <x:c r="I24" s="31" t="str"/>
      <x:c r="J24" s="37" t="str"/>
    </x:row>
    <x:row r="25">
      <x:c r="A25" s="31" t="n">
        <x:v>22</x:v>
      </x:c>
      <x:c r="B25" s="31" t="str">
        <x:v>Video Processing</x:v>
      </x:c>
      <x:c r="C25" s="31" t="str">
        <x:v>Cloud</x:v>
      </x:c>
      <x:c r="D25" s="31" t="str">
        <x:v>Async pipelines</x:v>
      </x:c>
      <x:c r="E25" s="31" t="str"/>
      <x:c r="F25" s="31" t="str">
        <x:v>Not Started</x:v>
      </x:c>
      <x:c r="G25" s="31" t="str"/>
      <x:c r="H25" s="31" t="str"/>
      <x:c r="I25" s="31" t="str"/>
      <x:c r="J25" s="37" t="str"/>
    </x:row>
    <x:row r="26">
      <x:c r="A26" s="31" t="n">
        <x:v>23</x:v>
      </x:c>
      <x:c r="B26" s="31" t="str">
        <x:v>Ride Sharing</x:v>
      </x:c>
      <x:c r="C26" s="31" t="str">
        <x:v>Distributed Systems</x:v>
      </x:c>
      <x:c r="D26" s="31" t="str">
        <x:v>Location + matching</x:v>
      </x:c>
      <x:c r="E26" s="31" t="str"/>
      <x:c r="F26" s="31" t="str">
        <x:v>Not Started</x:v>
      </x:c>
      <x:c r="G26" s="31" t="str"/>
      <x:c r="H26" s="31" t="str"/>
      <x:c r="I26" s="31" t="str"/>
      <x:c r="J26" s="37" t="str"/>
    </x:row>
    <x:row r="27">
      <x:c r="A27" s="31" t="n">
        <x:v>24</x:v>
      </x:c>
      <x:c r="B27" s="31" t="str">
        <x:v>Payments System</x:v>
      </x:c>
      <x:c r="C27" s="31" t="str">
        <x:v>Distributed Systems</x:v>
      </x:c>
      <x:c r="D27" s="31" t="str">
        <x:v>Idempotency + consistency</x:v>
      </x:c>
      <x:c r="E27" s="31" t="str"/>
      <x:c r="F27" s="31" t="str">
        <x:v>Not Started</x:v>
      </x:c>
      <x:c r="G27" s="31" t="str"/>
      <x:c r="H27" s="31" t="str"/>
      <x:c r="I27" s="31" t="str"/>
      <x:c r="J27" s="37" t="str"/>
    </x:row>
    <x:row r="28">
      <x:c r="A28" s="31" t="n">
        <x:v>25</x:v>
      </x:c>
      <x:c r="B28" s="31" t="str">
        <x:v>Calendar System</x:v>
      </x:c>
      <x:c r="C28" s="31" t="str">
        <x:v>Distributed Systems</x:v>
      </x:c>
      <x:c r="D28" s="31" t="str">
        <x:v>Conflicts + recurring events</x:v>
      </x:c>
      <x:c r="E28" s="31" t="str"/>
      <x:c r="F28" s="31" t="str">
        <x:v>Not Started</x:v>
      </x:c>
      <x:c r="G28" s="31" t="str"/>
      <x:c r="H28" s="31" t="str"/>
      <x:c r="I28" s="31" t="str"/>
      <x:c r="J28" s="37" t="str"/>
    </x:row>
    <x:row r="29">
      <x:c r="A29" s="31" t="n">
        <x:v>26</x:v>
      </x:c>
      <x:c r="B29" s="31" t="str">
        <x:v>Social Feed</x:v>
      </x:c>
      <x:c r="C29" s="31" t="str">
        <x:v>Distributed Systems</x:v>
      </x:c>
      <x:c r="D29" s="31" t="str">
        <x:v>Fanout + ranking</x:v>
      </x:c>
      <x:c r="E29" s="31" t="str"/>
      <x:c r="F29" s="31" t="str">
        <x:v>Not Started</x:v>
      </x:c>
      <x:c r="G29" s="31" t="str"/>
      <x:c r="H29" s="31" t="str"/>
      <x:c r="I29" s="31" t="str"/>
      <x:c r="J29" s="37" t="str"/>
    </x:row>
    <x:row r="30">
      <x:c r="A30" s="31" t="n">
        <x:v>27</x:v>
      </x:c>
      <x:c r="B30" s="31" t="str">
        <x:v>Inventory System</x:v>
      </x:c>
      <x:c r="C30" s="31" t="str">
        <x:v>Distributed Systems</x:v>
      </x:c>
      <x:c r="D30" s="31" t="str">
        <x:v>Consistency + reservations</x:v>
      </x:c>
      <x:c r="E30" s="31" t="str"/>
      <x:c r="F30" s="31" t="str">
        <x:v>Not Started</x:v>
      </x:c>
      <x:c r="G30" s="31" t="str"/>
      <x:c r="H30" s="31" t="str"/>
      <x:c r="I30" s="31" t="str"/>
      <x:c r="J30" s="37" t="str"/>
    </x:row>
    <x:row r="31">
      <x:c r="A31" s="31" t="n">
        <x:v>28</x:v>
      </x:c>
      <x:c r="B31" s="31" t="str">
        <x:v>Online Code Runner</x:v>
      </x:c>
      <x:c r="C31" s="31" t="str">
        <x:v>Cloud</x:v>
      </x:c>
      <x:c r="D31" s="31" t="str">
        <x:v>Sandbox + queues</x:v>
      </x:c>
      <x:c r="E31" s="31" t="str"/>
      <x:c r="F31" s="31" t="str">
        <x:v>Not Started</x:v>
      </x:c>
      <x:c r="G31" s="31" t="str"/>
      <x:c r="H31" s="31" t="str"/>
      <x:c r="I31" s="31" t="str"/>
      <x:c r="J31" s="37" t="str"/>
    </x:row>
    <x:row r="32">
      <x:c r="A32" s="31" t="n">
        <x:v>29</x:v>
      </x:c>
      <x:c r="B32" s="31" t="str">
        <x:v>Observability Platform</x:v>
      </x:c>
      <x:c r="C32" s="31" t="str">
        <x:v>Cloud</x:v>
      </x:c>
      <x:c r="D32" s="31" t="str">
        <x:v>Metrics + logs + traces</x:v>
      </x:c>
      <x:c r="E32" s="31" t="str"/>
      <x:c r="F32" s="31" t="str">
        <x:v>Not Started</x:v>
      </x:c>
      <x:c r="G32" s="31" t="str"/>
      <x:c r="H32" s="31" t="str"/>
      <x:c r="I32" s="31" t="str"/>
      <x:c r="J32" s="37" t="str"/>
    </x:row>
    <x:row r="33">
      <x:c r="A33" s="31" t="n">
        <x:v>30</x:v>
      </x:c>
      <x:c r="B33" s="31" t="str">
        <x:v>AI Engineering Platform</x:v>
      </x:c>
      <x:c r="C33" s="31" t="str">
        <x:v>GenAI Systems</x:v>
      </x:c>
      <x:c r="D33" s="31" t="str">
        <x:v>Full end-to-end deep dive</x:v>
      </x:c>
      <x:c r="E33" s="31" t="str"/>
      <x:c r="F33" s="31" t="str">
        <x:v>Not Started</x:v>
      </x:c>
      <x:c r="G33" s="31" t="str"/>
      <x:c r="H33" s="31" t="str"/>
      <x:c r="I33" s="31" t="str"/>
      <x:c r="J33" s="37" t="str"/>
    </x:row>
  </x:sheetData>
  <x:mergeCells>
    <x:mergeCell ref="A1:J1"/>
  </x:mergeCells>
  <x:conditionalFormatting sqref="F4:F33">
    <x:cfRule type="expression" dxfId="6" priority="1">
      <x:formula>F4="Done"</x:formula>
    </x:cfRule>
  </x:conditionalFormatting>
  <x:dataValidations count="1">
    <x:dataValidation type="list" sqref="F4:F33">
      <x:formula1>"Not Started,In Progress,Done,Skipped"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36b32b8377849f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58" hidden="0" customWidth="1"/>
    <x:col min="4" max="4" width="22" hidden="0" customWidth="1"/>
    <x:col min="5" max="5" width="14" hidden="0" customWidth="1"/>
    <x:col min="6" max="6" width="16" hidden="0" customWidth="1"/>
    <x:col min="7" max="7" width="30" hidden="0" customWidth="1"/>
    <x:col min="8" max="8" width="16" hidden="0" customWidth="1"/>
    <x:col min="9" max="9" width="10" hidden="0" customWidth="1"/>
    <x:col min="10" max="10" width="18" hidden="0" customWidth="1"/>
    <x:col min="11" max="11" width="32" hidden="0" customWidth="1"/>
  </x:cols>
  <x:sheetData>
    <x:row r="1" ht="28" customHeight="1">
      <x:c r="A1" s="5" t="str">
        <x:v>GOOGLE + TARGET COMPANY APPLICATION &amp; NETWORKING TRACKER</x:v>
      </x:c>
    </x:row>
    <x:row r="3">
      <x:c r="A3" s="25" t="str">
        <x:v>Company</x:v>
      </x:c>
      <x:c r="B3" s="25" t="str">
        <x:v>Role</x:v>
      </x:c>
      <x:c r="C3" s="25" t="str">
        <x:v>URL</x:v>
      </x:c>
      <x:c r="D3" s="25" t="str">
        <x:v>Contact/Recruiter</x:v>
      </x:c>
      <x:c r="E3" s="25" t="str">
        <x:v>Contact Date</x:v>
      </x:c>
      <x:c r="F3" s="25" t="str">
        <x:v>Status</x:v>
      </x:c>
      <x:c r="G3" s="25" t="str">
        <x:v>Next Step</x:v>
      </x:c>
      <x:c r="H3" s="25" t="str">
        <x:v>Follow-up Date</x:v>
      </x:c>
      <x:c r="I3" s="25" t="str">
        <x:v>Referral?</x:v>
      </x:c>
      <x:c r="J3" s="25" t="str">
        <x:v>Interview Stage</x:v>
      </x:c>
      <x:c r="K3" s="25" t="str">
        <x:v>Notes</x:v>
      </x:c>
    </x:row>
    <x:row r="4">
      <x:c r="A4" s="31" t="str">
        <x:v>Google</x:v>
      </x:c>
      <x:c r="B4" s="31" t="str">
        <x:v>Senior SWE — AI/ML GenAI — Google Ads</x:v>
      </x:c>
      <x:c r="C4" s="31" t="str">
        <x:v>https://www.google.com/about/careers/applications/jobs/results/100732318863237830-senior-software-engineer-aiml-genai-google-ads</x:v>
      </x:c>
      <x:c r="D4" s="31" t="str"/>
      <x:c r="E4" s="31" t="str"/>
      <x:c r="F4" s="31" t="str">
        <x:v>Research</x:v>
      </x:c>
      <x:c r="G4" s="31" t="str">
        <x:v>Review requirements</x:v>
      </x:c>
      <x:c r="H4" s="33" t="str"/>
      <x:c r="I4" s="31" t="str">
        <x:v>No</x:v>
      </x:c>
      <x:c r="J4" s="31" t="str"/>
      <x:c r="K4" s="31" t="str"/>
    </x:row>
    <x:row r="5">
      <x:c r="A5" s="31" t="str">
        <x:v>Google</x:v>
      </x:c>
      <x:c r="B5" s="31" t="str">
        <x:v>Senior SWE — AI/ML — Google Cloud</x:v>
      </x:c>
      <x:c r="C5" s="31" t="str">
        <x:v>https://www.google.com/about/careers/applications/jobs/results/136546867881091782-senior-software-engineer-aiml-google-cloud</x:v>
      </x:c>
      <x:c r="D5" s="31" t="str"/>
      <x:c r="E5" s="31" t="str"/>
      <x:c r="F5" s="31" t="str">
        <x:v>Research</x:v>
      </x:c>
      <x:c r="G5" s="31" t="str">
        <x:v>Map resume bullets</x:v>
      </x:c>
      <x:c r="H5" s="33" t="str"/>
      <x:c r="I5" s="31" t="str">
        <x:v>No</x:v>
      </x:c>
      <x:c r="J5" s="31" t="str"/>
      <x:c r="K5" s="31" t="str"/>
    </x:row>
    <x:row r="6">
      <x:c r="A6" s="31" t="str">
        <x:v>Google</x:v>
      </x:c>
      <x:c r="B6" s="31" t="str">
        <x:v>Software Engineer III — Full Stack — Google Cloud</x:v>
      </x:c>
      <x:c r="C6" s="31" t="str">
        <x:v>https://www.google.com/about/careers/applications/jobs/results/101212497425375942-software-engineer-iii-full-stack-google-cloud</x:v>
      </x:c>
      <x:c r="D6" s="31" t="str"/>
      <x:c r="E6" s="31" t="str"/>
      <x:c r="F6" s="31" t="str">
        <x:v>Research</x:v>
      </x:c>
      <x:c r="G6" s="31" t="str">
        <x:v>Build TypeScript evidence</x:v>
      </x:c>
      <x:c r="H6" s="33" t="str"/>
      <x:c r="I6" s="31" t="str">
        <x:v>No</x:v>
      </x:c>
      <x:c r="J6" s="31" t="str"/>
      <x:c r="K6" s="31" t="str"/>
    </x:row>
    <x:row r="7">
      <x:c r="A7" s="31" t="str">
        <x:v>Google</x:v>
      </x:c>
      <x:c r="B7" s="31" t="str">
        <x:v>Senior SWE — YouTube Creator Support</x:v>
      </x:c>
      <x:c r="C7" s="31" t="str">
        <x:v>https://www.google.com/about/careers/applications/jobs/results/120884820812145350-senior-software-engineer-youtube-creator-support</x:v>
      </x:c>
      <x:c r="D7" s="31" t="str"/>
      <x:c r="E7" s="31" t="str"/>
      <x:c r="F7" s="31" t="str">
        <x:v>Research</x:v>
      </x:c>
      <x:c r="G7" s="31" t="str">
        <x:v>Build LLM systems story</x:v>
      </x:c>
      <x:c r="H7" s="33" t="str"/>
      <x:c r="I7" s="31" t="str">
        <x:v>No</x:v>
      </x:c>
      <x:c r="J7" s="31" t="str"/>
      <x:c r="K7" s="31" t="str"/>
    </x:row>
    <x:row r="8">
      <x:c r="A8" s="31" t="str">
        <x:v>Google</x:v>
      </x:c>
      <x:c r="B8" s="31" t="str">
        <x:v>Applied AI/ML Engineer</x:v>
      </x:c>
      <x:c r="C8" s="31" t="str">
        <x:v>https://www.google.com/about/careers/applications/jobs/results/91512172982477510-applied-aiml-engineer</x:v>
      </x:c>
      <x:c r="D8" s="31" t="str"/>
      <x:c r="E8" s="31" t="str"/>
      <x:c r="F8" s="31" t="str">
        <x:v>Research</x:v>
      </x:c>
      <x:c r="G8" s="31" t="str">
        <x:v>Build agent/governance story</x:v>
      </x:c>
      <x:c r="H8" s="33" t="str"/>
      <x:c r="I8" s="31" t="str">
        <x:v>No</x:v>
      </x:c>
      <x:c r="J8" s="31" t="str"/>
      <x:c r="K8" s="31" t="str"/>
    </x:row>
    <x:row r="9">
      <x:c r="A9" s="31" t="str"/>
      <x:c r="B9" s="31" t="str"/>
      <x:c r="C9" s="31" t="str"/>
      <x:c r="D9" s="31" t="str"/>
      <x:c r="E9" s="31" t="str"/>
      <x:c r="F9" s="31" t="str">
        <x:v>Not Contacted</x:v>
      </x:c>
      <x:c r="G9" s="31" t="str"/>
      <x:c r="H9" s="33" t="str"/>
      <x:c r="I9" s="31" t="str">
        <x:v>No</x:v>
      </x:c>
      <x:c r="J9" s="31" t="str"/>
      <x:c r="K9" s="31" t="str"/>
    </x:row>
    <x:row r="10">
      <x:c r="A10" s="31" t="str"/>
      <x:c r="B10" s="31" t="str"/>
      <x:c r="C10" s="31" t="str"/>
      <x:c r="D10" s="31" t="str"/>
      <x:c r="E10" s="31" t="str"/>
      <x:c r="F10" s="31" t="str">
        <x:v>Not Contacted</x:v>
      </x:c>
      <x:c r="G10" s="31" t="str"/>
      <x:c r="H10" s="33" t="str"/>
      <x:c r="I10" s="31" t="str">
        <x:v>No</x:v>
      </x:c>
      <x:c r="J10" s="31" t="str"/>
      <x:c r="K10" s="31" t="str"/>
    </x:row>
    <x:row r="11">
      <x:c r="A11" s="31" t="str"/>
      <x:c r="B11" s="31" t="str"/>
      <x:c r="C11" s="31" t="str"/>
      <x:c r="D11" s="31" t="str"/>
      <x:c r="E11" s="31" t="str"/>
      <x:c r="F11" s="31" t="str">
        <x:v>Not Contacted</x:v>
      </x:c>
      <x:c r="G11" s="31" t="str"/>
      <x:c r="H11" s="33" t="str"/>
      <x:c r="I11" s="31" t="str">
        <x:v>No</x:v>
      </x:c>
      <x:c r="J11" s="31" t="str"/>
      <x:c r="K11" s="31" t="str"/>
    </x:row>
    <x:row r="12">
      <x:c r="A12" s="31" t="str"/>
      <x:c r="B12" s="31" t="str"/>
      <x:c r="C12" s="31" t="str"/>
      <x:c r="D12" s="31" t="str"/>
      <x:c r="E12" s="31" t="str"/>
      <x:c r="F12" s="31" t="str">
        <x:v>Not Contacted</x:v>
      </x:c>
      <x:c r="G12" s="31" t="str"/>
      <x:c r="H12" s="33" t="str"/>
      <x:c r="I12" s="31" t="str">
        <x:v>No</x:v>
      </x:c>
      <x:c r="J12" s="31" t="str"/>
      <x:c r="K12" s="31" t="str"/>
    </x:row>
    <x:row r="13">
      <x:c r="A13" s="31" t="str"/>
      <x:c r="B13" s="31" t="str"/>
      <x:c r="C13" s="31" t="str"/>
      <x:c r="D13" s="31" t="str"/>
      <x:c r="E13" s="31" t="str"/>
      <x:c r="F13" s="31" t="str">
        <x:v>Not Contacted</x:v>
      </x:c>
      <x:c r="G13" s="31" t="str"/>
      <x:c r="H13" s="33" t="str"/>
      <x:c r="I13" s="31" t="str">
        <x:v>No</x:v>
      </x:c>
      <x:c r="J13" s="31" t="str"/>
      <x:c r="K13" s="31" t="str"/>
    </x:row>
    <x:row r="14">
      <x:c r="A14" s="31" t="str"/>
      <x:c r="B14" s="31" t="str"/>
      <x:c r="C14" s="31" t="str"/>
      <x:c r="D14" s="31" t="str"/>
      <x:c r="E14" s="31" t="str"/>
      <x:c r="F14" s="31" t="str">
        <x:v>Not Contacted</x:v>
      </x:c>
      <x:c r="G14" s="31" t="str"/>
      <x:c r="H14" s="33" t="str"/>
      <x:c r="I14" s="31" t="str">
        <x:v>No</x:v>
      </x:c>
      <x:c r="J14" s="31" t="str"/>
      <x:c r="K14" s="31" t="str"/>
    </x:row>
    <x:row r="15">
      <x:c r="A15" s="31" t="str"/>
      <x:c r="B15" s="31" t="str"/>
      <x:c r="C15" s="31" t="str"/>
      <x:c r="D15" s="31" t="str"/>
      <x:c r="E15" s="31" t="str"/>
      <x:c r="F15" s="31" t="str">
        <x:v>Not Contacted</x:v>
      </x:c>
      <x:c r="G15" s="31" t="str"/>
      <x:c r="H15" s="33" t="str"/>
      <x:c r="I15" s="31" t="str">
        <x:v>No</x:v>
      </x:c>
      <x:c r="J15" s="31" t="str"/>
      <x:c r="K15" s="31" t="str"/>
    </x:row>
    <x:row r="16">
      <x:c r="A16" s="31" t="str"/>
      <x:c r="B16" s="31" t="str"/>
      <x:c r="C16" s="31" t="str"/>
      <x:c r="D16" s="31" t="str"/>
      <x:c r="E16" s="31" t="str"/>
      <x:c r="F16" s="31" t="str">
        <x:v>Not Contacted</x:v>
      </x:c>
      <x:c r="G16" s="31" t="str"/>
      <x:c r="H16" s="33" t="str"/>
      <x:c r="I16" s="31" t="str">
        <x:v>No</x:v>
      </x:c>
      <x:c r="J16" s="31" t="str"/>
      <x:c r="K16" s="31" t="str"/>
    </x:row>
    <x:row r="17">
      <x:c r="A17" s="31" t="str"/>
      <x:c r="B17" s="31" t="str"/>
      <x:c r="C17" s="31" t="str"/>
      <x:c r="D17" s="31" t="str"/>
      <x:c r="E17" s="31" t="str"/>
      <x:c r="F17" s="31" t="str">
        <x:v>Not Contacted</x:v>
      </x:c>
      <x:c r="G17" s="31" t="str"/>
      <x:c r="H17" s="33" t="str"/>
      <x:c r="I17" s="31" t="str">
        <x:v>No</x:v>
      </x:c>
      <x:c r="J17" s="31" t="str"/>
      <x:c r="K17" s="31" t="str"/>
    </x:row>
    <x:row r="18">
      <x:c r="A18" s="31" t="str"/>
      <x:c r="B18" s="31" t="str"/>
      <x:c r="C18" s="31" t="str"/>
      <x:c r="D18" s="31" t="str"/>
      <x:c r="E18" s="31" t="str"/>
      <x:c r="F18" s="31" t="str">
        <x:v>Not Contacted</x:v>
      </x:c>
      <x:c r="G18" s="31" t="str"/>
      <x:c r="H18" s="33" t="str"/>
      <x:c r="I18" s="31" t="str">
        <x:v>No</x:v>
      </x:c>
      <x:c r="J18" s="31" t="str"/>
      <x:c r="K18" s="31" t="str"/>
    </x:row>
    <x:row r="19">
      <x:c r="A19" s="31" t="str"/>
      <x:c r="B19" s="31" t="str"/>
      <x:c r="C19" s="31" t="str"/>
      <x:c r="D19" s="31" t="str"/>
      <x:c r="E19" s="31" t="str"/>
      <x:c r="F19" s="31" t="str">
        <x:v>Not Contacted</x:v>
      </x:c>
      <x:c r="G19" s="31" t="str"/>
      <x:c r="H19" s="33" t="str"/>
      <x:c r="I19" s="31" t="str">
        <x:v>No</x:v>
      </x:c>
      <x:c r="J19" s="31" t="str"/>
      <x:c r="K19" s="31" t="str"/>
    </x:row>
    <x:row r="20">
      <x:c r="A20" s="31" t="str"/>
      <x:c r="B20" s="31" t="str"/>
      <x:c r="C20" s="31" t="str"/>
      <x:c r="D20" s="31" t="str"/>
      <x:c r="E20" s="31" t="str"/>
      <x:c r="F20" s="31" t="str">
        <x:v>Not Contacted</x:v>
      </x:c>
      <x:c r="G20" s="31" t="str"/>
      <x:c r="H20" s="33" t="str"/>
      <x:c r="I20" s="31" t="str">
        <x:v>No</x:v>
      </x:c>
      <x:c r="J20" s="31" t="str"/>
      <x:c r="K20" s="31" t="str"/>
    </x:row>
    <x:row r="21">
      <x:c r="A21" s="31" t="str"/>
      <x:c r="B21" s="31" t="str"/>
      <x:c r="C21" s="31" t="str"/>
      <x:c r="D21" s="31" t="str"/>
      <x:c r="E21" s="31" t="str"/>
      <x:c r="F21" s="31" t="str">
        <x:v>Not Contacted</x:v>
      </x:c>
      <x:c r="G21" s="31" t="str"/>
      <x:c r="H21" s="33" t="str"/>
      <x:c r="I21" s="31" t="str">
        <x:v>No</x:v>
      </x:c>
      <x:c r="J21" s="31" t="str"/>
      <x:c r="K21" s="31" t="str"/>
    </x:row>
    <x:row r="22">
      <x:c r="A22" s="31" t="str"/>
      <x:c r="B22" s="31" t="str"/>
      <x:c r="C22" s="31" t="str"/>
      <x:c r="D22" s="31" t="str"/>
      <x:c r="E22" s="31" t="str"/>
      <x:c r="F22" s="31" t="str">
        <x:v>Not Contacted</x:v>
      </x:c>
      <x:c r="G22" s="31" t="str"/>
      <x:c r="H22" s="33" t="str"/>
      <x:c r="I22" s="31" t="str">
        <x:v>No</x:v>
      </x:c>
      <x:c r="J22" s="31" t="str"/>
      <x:c r="K22" s="31" t="str"/>
    </x:row>
    <x:row r="23">
      <x:c r="A23" s="31" t="str"/>
      <x:c r="B23" s="31" t="str"/>
      <x:c r="C23" s="31" t="str"/>
      <x:c r="D23" s="31" t="str"/>
      <x:c r="E23" s="31" t="str"/>
      <x:c r="F23" s="31" t="str">
        <x:v>Not Contacted</x:v>
      </x:c>
      <x:c r="G23" s="31" t="str"/>
      <x:c r="H23" s="33" t="str"/>
      <x:c r="I23" s="31" t="str">
        <x:v>No</x:v>
      </x:c>
      <x:c r="J23" s="31" t="str"/>
      <x:c r="K23" s="31" t="str"/>
    </x:row>
    <x:row r="24">
      <x:c r="A24" s="31" t="str"/>
      <x:c r="B24" s="31" t="str"/>
      <x:c r="C24" s="31" t="str"/>
      <x:c r="D24" s="31" t="str"/>
      <x:c r="E24" s="31" t="str"/>
      <x:c r="F24" s="31" t="str">
        <x:v>Not Contacted</x:v>
      </x:c>
      <x:c r="G24" s="31" t="str"/>
      <x:c r="H24" s="33" t="str"/>
      <x:c r="I24" s="31" t="str">
        <x:v>No</x:v>
      </x:c>
      <x:c r="J24" s="31" t="str"/>
      <x:c r="K24" s="31" t="str"/>
    </x:row>
    <x:row r="25">
      <x:c r="A25" s="31" t="str"/>
      <x:c r="B25" s="31" t="str"/>
      <x:c r="C25" s="31" t="str"/>
      <x:c r="D25" s="31" t="str"/>
      <x:c r="E25" s="31" t="str"/>
      <x:c r="F25" s="31" t="str">
        <x:v>Not Contacted</x:v>
      </x:c>
      <x:c r="G25" s="31" t="str"/>
      <x:c r="H25" s="33" t="str"/>
      <x:c r="I25" s="31" t="str">
        <x:v>No</x:v>
      </x:c>
      <x:c r="J25" s="31" t="str"/>
      <x:c r="K25" s="31" t="str"/>
    </x:row>
    <x:row r="26">
      <x:c r="A26" s="31" t="str"/>
      <x:c r="B26" s="31" t="str"/>
      <x:c r="C26" s="31" t="str"/>
      <x:c r="D26" s="31" t="str"/>
      <x:c r="E26" s="31" t="str"/>
      <x:c r="F26" s="31" t="str">
        <x:v>Not Contacted</x:v>
      </x:c>
      <x:c r="G26" s="31" t="str"/>
      <x:c r="H26" s="33" t="str"/>
      <x:c r="I26" s="31" t="str">
        <x:v>No</x:v>
      </x:c>
      <x:c r="J26" s="31" t="str"/>
      <x:c r="K26" s="31" t="str"/>
    </x:row>
    <x:row r="27">
      <x:c r="A27" s="31" t="str"/>
      <x:c r="B27" s="31" t="str"/>
      <x:c r="C27" s="31" t="str"/>
      <x:c r="D27" s="31" t="str"/>
      <x:c r="E27" s="31" t="str"/>
      <x:c r="F27" s="31" t="str">
        <x:v>Not Contacted</x:v>
      </x:c>
      <x:c r="G27" s="31" t="str"/>
      <x:c r="H27" s="33" t="str"/>
      <x:c r="I27" s="31" t="str">
        <x:v>No</x:v>
      </x:c>
      <x:c r="J27" s="31" t="str"/>
      <x:c r="K27" s="31" t="str"/>
    </x:row>
    <x:row r="28">
      <x:c r="A28" s="31" t="str"/>
      <x:c r="B28" s="31" t="str"/>
      <x:c r="C28" s="31" t="str"/>
      <x:c r="D28" s="31" t="str"/>
      <x:c r="E28" s="31" t="str"/>
      <x:c r="F28" s="31" t="str">
        <x:v>Not Contacted</x:v>
      </x:c>
      <x:c r="G28" s="31" t="str"/>
      <x:c r="H28" s="33" t="str"/>
      <x:c r="I28" s="31" t="str">
        <x:v>No</x:v>
      </x:c>
      <x:c r="J28" s="31" t="str"/>
      <x:c r="K28" s="31" t="str"/>
    </x:row>
    <x:row r="29">
      <x:c r="A29" s="31" t="str"/>
      <x:c r="B29" s="31" t="str"/>
      <x:c r="C29" s="31" t="str"/>
      <x:c r="D29" s="31" t="str"/>
      <x:c r="E29" s="31" t="str"/>
      <x:c r="F29" s="31" t="str">
        <x:v>Not Contacted</x:v>
      </x:c>
      <x:c r="G29" s="31" t="str"/>
      <x:c r="H29" s="33" t="str"/>
      <x:c r="I29" s="31" t="str">
        <x:v>No</x:v>
      </x:c>
      <x:c r="J29" s="31" t="str"/>
      <x:c r="K29" s="31" t="str"/>
    </x:row>
    <x:row r="30">
      <x:c r="A30" s="31" t="str"/>
      <x:c r="B30" s="31" t="str"/>
      <x:c r="C30" s="31" t="str"/>
      <x:c r="D30" s="31" t="str"/>
      <x:c r="E30" s="31" t="str"/>
      <x:c r="F30" s="31" t="str">
        <x:v>Not Contacted</x:v>
      </x:c>
      <x:c r="G30" s="31" t="str"/>
      <x:c r="H30" s="33" t="str"/>
      <x:c r="I30" s="31" t="str">
        <x:v>No</x:v>
      </x:c>
      <x:c r="J30" s="31" t="str"/>
      <x:c r="K30" s="31" t="str"/>
    </x:row>
    <x:row r="31">
      <x:c r="A31" s="31" t="str"/>
      <x:c r="B31" s="31" t="str"/>
      <x:c r="C31" s="31" t="str"/>
      <x:c r="D31" s="31" t="str"/>
      <x:c r="E31" s="31" t="str"/>
      <x:c r="F31" s="31" t="str">
        <x:v>Not Contacted</x:v>
      </x:c>
      <x:c r="G31" s="31" t="str"/>
      <x:c r="H31" s="33" t="str"/>
      <x:c r="I31" s="31" t="str">
        <x:v>No</x:v>
      </x:c>
      <x:c r="J31" s="31" t="str"/>
      <x:c r="K31" s="31" t="str"/>
    </x:row>
    <x:row r="32">
      <x:c r="A32" s="31" t="str"/>
      <x:c r="B32" s="31" t="str"/>
      <x:c r="C32" s="31" t="str"/>
      <x:c r="D32" s="31" t="str"/>
      <x:c r="E32" s="31" t="str"/>
      <x:c r="F32" s="31" t="str">
        <x:v>Not Contacted</x:v>
      </x:c>
      <x:c r="G32" s="31" t="str"/>
      <x:c r="H32" s="33" t="str"/>
      <x:c r="I32" s="31" t="str">
        <x:v>No</x:v>
      </x:c>
      <x:c r="J32" s="31" t="str"/>
      <x:c r="K32" s="31" t="str"/>
    </x:row>
    <x:row r="33">
      <x:c r="A33" s="31" t="str"/>
      <x:c r="B33" s="31" t="str"/>
      <x:c r="C33" s="31" t="str"/>
      <x:c r="D33" s="31" t="str"/>
      <x:c r="E33" s="31" t="str"/>
      <x:c r="F33" s="31" t="str">
        <x:v>Not Contacted</x:v>
      </x:c>
      <x:c r="G33" s="31" t="str"/>
      <x:c r="H33" s="33" t="str"/>
      <x:c r="I33" s="31" t="str">
        <x:v>No</x:v>
      </x:c>
      <x:c r="J33" s="31" t="str"/>
      <x:c r="K33" s="31" t="str"/>
    </x:row>
    <x:row r="34">
      <x:c r="A34" s="31" t="str"/>
      <x:c r="B34" s="31" t="str"/>
      <x:c r="C34" s="31" t="str"/>
      <x:c r="D34" s="31" t="str"/>
      <x:c r="E34" s="31" t="str"/>
      <x:c r="F34" s="31" t="str">
        <x:v>Not Contacted</x:v>
      </x:c>
      <x:c r="G34" s="31" t="str"/>
      <x:c r="H34" s="33" t="str"/>
      <x:c r="I34" s="31" t="str">
        <x:v>No</x:v>
      </x:c>
      <x:c r="J34" s="31" t="str"/>
      <x:c r="K34" s="31" t="str"/>
    </x:row>
    <x:row r="35">
      <x:c r="A35" s="31" t="str"/>
      <x:c r="B35" s="31" t="str"/>
      <x:c r="C35" s="31" t="str"/>
      <x:c r="D35" s="31" t="str"/>
      <x:c r="E35" s="31" t="str"/>
      <x:c r="F35" s="31" t="str">
        <x:v>Not Contacted</x:v>
      </x:c>
      <x:c r="G35" s="31" t="str"/>
      <x:c r="H35" s="33" t="str"/>
      <x:c r="I35" s="31" t="str">
        <x:v>No</x:v>
      </x:c>
      <x:c r="J35" s="31" t="str"/>
      <x:c r="K35" s="31" t="str"/>
    </x:row>
    <x:row r="36">
      <x:c r="A36" s="31" t="str"/>
      <x:c r="B36" s="31" t="str"/>
      <x:c r="C36" s="31" t="str"/>
      <x:c r="D36" s="31" t="str"/>
      <x:c r="E36" s="31" t="str"/>
      <x:c r="F36" s="31" t="str">
        <x:v>Not Contacted</x:v>
      </x:c>
      <x:c r="G36" s="31" t="str"/>
      <x:c r="H36" s="33" t="str"/>
      <x:c r="I36" s="31" t="str">
        <x:v>No</x:v>
      </x:c>
      <x:c r="J36" s="31" t="str"/>
      <x:c r="K36" s="31" t="str"/>
    </x:row>
    <x:row r="37">
      <x:c r="A37" s="31" t="str"/>
      <x:c r="B37" s="31" t="str"/>
      <x:c r="C37" s="31" t="str"/>
      <x:c r="D37" s="31" t="str"/>
      <x:c r="E37" s="31" t="str"/>
      <x:c r="F37" s="31" t="str">
        <x:v>Not Contacted</x:v>
      </x:c>
      <x:c r="G37" s="31" t="str"/>
      <x:c r="H37" s="33" t="str"/>
      <x:c r="I37" s="31" t="str">
        <x:v>No</x:v>
      </x:c>
      <x:c r="J37" s="31" t="str"/>
      <x:c r="K37" s="31" t="str"/>
    </x:row>
    <x:row r="38">
      <x:c r="A38" s="31" t="str"/>
      <x:c r="B38" s="31" t="str"/>
      <x:c r="C38" s="31" t="str"/>
      <x:c r="D38" s="31" t="str"/>
      <x:c r="E38" s="31" t="str"/>
      <x:c r="F38" s="31" t="str">
        <x:v>Not Contacted</x:v>
      </x:c>
      <x:c r="G38" s="31" t="str"/>
      <x:c r="H38" s="33" t="str"/>
      <x:c r="I38" s="31" t="str">
        <x:v>No</x:v>
      </x:c>
      <x:c r="J38" s="31" t="str"/>
      <x:c r="K38" s="31" t="str"/>
    </x:row>
    <x:row r="39">
      <x:c r="A39" s="31" t="str"/>
      <x:c r="B39" s="31" t="str"/>
      <x:c r="C39" s="31" t="str"/>
      <x:c r="D39" s="31" t="str"/>
      <x:c r="E39" s="31" t="str"/>
      <x:c r="F39" s="31" t="str">
        <x:v>Not Contacted</x:v>
      </x:c>
      <x:c r="G39" s="31" t="str"/>
      <x:c r="H39" s="33" t="str"/>
      <x:c r="I39" s="31" t="str">
        <x:v>No</x:v>
      </x:c>
      <x:c r="J39" s="31" t="str"/>
      <x:c r="K39" s="31" t="str"/>
    </x:row>
    <x:row r="40">
      <x:c r="A40" s="31" t="str"/>
      <x:c r="B40" s="31" t="str"/>
      <x:c r="C40" s="31" t="str"/>
      <x:c r="D40" s="31" t="str"/>
      <x:c r="E40" s="31" t="str"/>
      <x:c r="F40" s="31" t="str">
        <x:v>Not Contacted</x:v>
      </x:c>
      <x:c r="G40" s="31" t="str"/>
      <x:c r="H40" s="33" t="str"/>
      <x:c r="I40" s="31" t="str">
        <x:v>No</x:v>
      </x:c>
      <x:c r="J40" s="31" t="str"/>
      <x:c r="K40" s="31" t="str"/>
    </x:row>
    <x:row r="41">
      <x:c r="A41" s="31" t="str"/>
      <x:c r="B41" s="31" t="str"/>
      <x:c r="C41" s="31" t="str"/>
      <x:c r="D41" s="31" t="str"/>
      <x:c r="E41" s="31" t="str"/>
      <x:c r="F41" s="31" t="str">
        <x:v>Not Contacted</x:v>
      </x:c>
      <x:c r="G41" s="31" t="str"/>
      <x:c r="H41" s="33" t="str"/>
      <x:c r="I41" s="31" t="str">
        <x:v>No</x:v>
      </x:c>
      <x:c r="J41" s="31" t="str"/>
      <x:c r="K41" s="31" t="str"/>
    </x:row>
    <x:row r="42">
      <x:c r="A42" s="31" t="str"/>
      <x:c r="B42" s="31" t="str"/>
      <x:c r="C42" s="31" t="str"/>
      <x:c r="D42" s="31" t="str"/>
      <x:c r="E42" s="31" t="str"/>
      <x:c r="F42" s="31" t="str">
        <x:v>Not Contacted</x:v>
      </x:c>
      <x:c r="G42" s="31" t="str"/>
      <x:c r="H42" s="33" t="str"/>
      <x:c r="I42" s="31" t="str">
        <x:v>No</x:v>
      </x:c>
      <x:c r="J42" s="31" t="str"/>
      <x:c r="K42" s="31" t="str"/>
    </x:row>
    <x:row r="43">
      <x:c r="A43" s="31" t="str"/>
      <x:c r="B43" s="31" t="str"/>
      <x:c r="C43" s="31" t="str"/>
      <x:c r="D43" s="31" t="str"/>
      <x:c r="E43" s="31" t="str"/>
      <x:c r="F43" s="31" t="str">
        <x:v>Not Contacted</x:v>
      </x:c>
      <x:c r="G43" s="31" t="str"/>
      <x:c r="H43" s="33" t="str"/>
      <x:c r="I43" s="31" t="str">
        <x:v>No</x:v>
      </x:c>
      <x:c r="J43" s="31" t="str"/>
      <x:c r="K43" s="31" t="str"/>
    </x:row>
    <x:row r="44">
      <x:c r="A44" s="31" t="str"/>
      <x:c r="B44" s="31" t="str"/>
      <x:c r="C44" s="31" t="str"/>
      <x:c r="D44" s="31" t="str"/>
      <x:c r="E44" s="31" t="str"/>
      <x:c r="F44" s="31" t="str">
        <x:v>Not Contacted</x:v>
      </x:c>
      <x:c r="G44" s="31" t="str"/>
      <x:c r="H44" s="33" t="str"/>
      <x:c r="I44" s="31" t="str">
        <x:v>No</x:v>
      </x:c>
      <x:c r="J44" s="31" t="str"/>
      <x:c r="K44" s="31" t="str"/>
    </x:row>
    <x:row r="45">
      <x:c r="A45" s="31" t="str"/>
      <x:c r="B45" s="31" t="str"/>
      <x:c r="C45" s="31" t="str"/>
      <x:c r="D45" s="31" t="str"/>
      <x:c r="E45" s="31" t="str"/>
      <x:c r="F45" s="31" t="str">
        <x:v>Not Contacted</x:v>
      </x:c>
      <x:c r="G45" s="31" t="str"/>
      <x:c r="H45" s="33" t="str"/>
      <x:c r="I45" s="31" t="str">
        <x:v>No</x:v>
      </x:c>
      <x:c r="J45" s="31" t="str"/>
      <x:c r="K45" s="31" t="str"/>
    </x:row>
    <x:row r="46">
      <x:c r="A46" s="31" t="str"/>
      <x:c r="B46" s="31" t="str"/>
      <x:c r="C46" s="31" t="str"/>
      <x:c r="D46" s="31" t="str"/>
      <x:c r="E46" s="31" t="str"/>
      <x:c r="F46" s="31" t="str">
        <x:v>Not Contacted</x:v>
      </x:c>
      <x:c r="G46" s="31" t="str"/>
      <x:c r="H46" s="33" t="str"/>
      <x:c r="I46" s="31" t="str">
        <x:v>No</x:v>
      </x:c>
      <x:c r="J46" s="31" t="str"/>
      <x:c r="K46" s="31" t="str"/>
    </x:row>
    <x:row r="47">
      <x:c r="A47" s="31" t="str"/>
      <x:c r="B47" s="31" t="str"/>
      <x:c r="C47" s="31" t="str"/>
      <x:c r="D47" s="31" t="str"/>
      <x:c r="E47" s="31" t="str"/>
      <x:c r="F47" s="31" t="str">
        <x:v>Not Contacted</x:v>
      </x:c>
      <x:c r="G47" s="31" t="str"/>
      <x:c r="H47" s="33" t="str"/>
      <x:c r="I47" s="31" t="str">
        <x:v>No</x:v>
      </x:c>
      <x:c r="J47" s="31" t="str"/>
      <x:c r="K47" s="31" t="str"/>
    </x:row>
    <x:row r="48">
      <x:c r="A48" s="31" t="str"/>
      <x:c r="B48" s="31" t="str"/>
      <x:c r="C48" s="31" t="str"/>
      <x:c r="D48" s="31" t="str"/>
      <x:c r="E48" s="31" t="str"/>
      <x:c r="F48" s="31" t="str">
        <x:v>Not Contacted</x:v>
      </x:c>
      <x:c r="G48" s="31" t="str"/>
      <x:c r="H48" s="33" t="str"/>
      <x:c r="I48" s="31" t="str">
        <x:v>No</x:v>
      </x:c>
      <x:c r="J48" s="31" t="str"/>
      <x:c r="K48" s="31" t="str"/>
    </x:row>
    <x:row r="49">
      <x:c r="A49" s="31" t="str"/>
      <x:c r="B49" s="31" t="str"/>
      <x:c r="C49" s="31" t="str"/>
      <x:c r="D49" s="31" t="str"/>
      <x:c r="E49" s="31" t="str"/>
      <x:c r="F49" s="31" t="str">
        <x:v>Not Contacted</x:v>
      </x:c>
      <x:c r="G49" s="31" t="str"/>
      <x:c r="H49" s="33" t="str"/>
      <x:c r="I49" s="31" t="str">
        <x:v>No</x:v>
      </x:c>
      <x:c r="J49" s="31" t="str"/>
      <x:c r="K49" s="31" t="str"/>
    </x:row>
    <x:row r="50">
      <x:c r="A50" s="31" t="str"/>
      <x:c r="B50" s="31" t="str"/>
      <x:c r="C50" s="31" t="str"/>
      <x:c r="D50" s="31" t="str"/>
      <x:c r="E50" s="31" t="str"/>
      <x:c r="F50" s="31" t="str">
        <x:v>Not Contacted</x:v>
      </x:c>
      <x:c r="G50" s="31" t="str"/>
      <x:c r="H50" s="33" t="str"/>
      <x:c r="I50" s="31" t="str">
        <x:v>No</x:v>
      </x:c>
      <x:c r="J50" s="31" t="str"/>
      <x:c r="K50" s="31" t="str"/>
    </x:row>
    <x:row r="51">
      <x:c r="A51" s="31" t="str"/>
      <x:c r="B51" s="31" t="str"/>
      <x:c r="C51" s="31" t="str"/>
      <x:c r="D51" s="31" t="str"/>
      <x:c r="E51" s="31" t="str"/>
      <x:c r="F51" s="31" t="str">
        <x:v>Not Contacted</x:v>
      </x:c>
      <x:c r="G51" s="31" t="str"/>
      <x:c r="H51" s="33" t="str"/>
      <x:c r="I51" s="31" t="str">
        <x:v>No</x:v>
      </x:c>
      <x:c r="J51" s="31" t="str"/>
      <x:c r="K51" s="31" t="str"/>
    </x:row>
    <x:row r="52">
      <x:c r="A52" s="31" t="str"/>
      <x:c r="B52" s="31" t="str"/>
      <x:c r="C52" s="31" t="str"/>
      <x:c r="D52" s="31" t="str"/>
      <x:c r="E52" s="31" t="str"/>
      <x:c r="F52" s="31" t="str">
        <x:v>Not Contacted</x:v>
      </x:c>
      <x:c r="G52" s="31" t="str"/>
      <x:c r="H52" s="33" t="str"/>
      <x:c r="I52" s="31" t="str">
        <x:v>No</x:v>
      </x:c>
      <x:c r="J52" s="31" t="str"/>
      <x:c r="K52" s="31" t="str"/>
    </x:row>
    <x:row r="53">
      <x:c r="A53" s="31" t="str"/>
      <x:c r="B53" s="31" t="str"/>
      <x:c r="C53" s="31" t="str"/>
      <x:c r="D53" s="31" t="str"/>
      <x:c r="E53" s="31" t="str"/>
      <x:c r="F53" s="31" t="str">
        <x:v>Not Contacted</x:v>
      </x:c>
      <x:c r="G53" s="31" t="str"/>
      <x:c r="H53" s="33" t="str"/>
      <x:c r="I53" s="31" t="str">
        <x:v>No</x:v>
      </x:c>
      <x:c r="J53" s="31" t="str"/>
      <x:c r="K53" s="31" t="str"/>
    </x:row>
    <x:row r="54">
      <x:c r="A54" s="31" t="str"/>
      <x:c r="B54" s="31" t="str"/>
      <x:c r="C54" s="31" t="str"/>
      <x:c r="D54" s="31" t="str"/>
      <x:c r="E54" s="31" t="str"/>
      <x:c r="F54" s="31" t="str">
        <x:v>Not Contacted</x:v>
      </x:c>
      <x:c r="G54" s="31" t="str"/>
      <x:c r="H54" s="33" t="str"/>
      <x:c r="I54" s="31" t="str">
        <x:v>No</x:v>
      </x:c>
      <x:c r="J54" s="31" t="str"/>
      <x:c r="K54" s="31" t="str"/>
    </x:row>
    <x:row r="55">
      <x:c r="A55" s="31" t="str"/>
      <x:c r="B55" s="31" t="str"/>
      <x:c r="C55" s="31" t="str"/>
      <x:c r="D55" s="31" t="str"/>
      <x:c r="E55" s="31" t="str"/>
      <x:c r="F55" s="31" t="str">
        <x:v>Not Contacted</x:v>
      </x:c>
      <x:c r="G55" s="31" t="str"/>
      <x:c r="H55" s="33" t="str"/>
      <x:c r="I55" s="31" t="str">
        <x:v>No</x:v>
      </x:c>
      <x:c r="J55" s="31" t="str"/>
      <x:c r="K55" s="31" t="str"/>
    </x:row>
    <x:row r="56">
      <x:c r="A56" s="31" t="str"/>
      <x:c r="B56" s="31" t="str"/>
      <x:c r="C56" s="31" t="str"/>
      <x:c r="D56" s="31" t="str"/>
      <x:c r="E56" s="31" t="str"/>
      <x:c r="F56" s="31" t="str">
        <x:v>Not Contacted</x:v>
      </x:c>
      <x:c r="G56" s="31" t="str"/>
      <x:c r="H56" s="33" t="str"/>
      <x:c r="I56" s="31" t="str">
        <x:v>No</x:v>
      </x:c>
      <x:c r="J56" s="31" t="str"/>
      <x:c r="K56" s="31" t="str"/>
    </x:row>
    <x:row r="57">
      <x:c r="A57" s="31" t="str"/>
      <x:c r="B57" s="31" t="str"/>
      <x:c r="C57" s="31" t="str"/>
      <x:c r="D57" s="31" t="str"/>
      <x:c r="E57" s="31" t="str"/>
      <x:c r="F57" s="31" t="str">
        <x:v>Not Contacted</x:v>
      </x:c>
      <x:c r="G57" s="31" t="str"/>
      <x:c r="H57" s="33" t="str"/>
      <x:c r="I57" s="31" t="str">
        <x:v>No</x:v>
      </x:c>
      <x:c r="J57" s="31" t="str"/>
      <x:c r="K57" s="31" t="str"/>
    </x:row>
    <x:row r="58">
      <x:c r="A58" s="31" t="str"/>
      <x:c r="B58" s="31" t="str"/>
      <x:c r="C58" s="31" t="str"/>
      <x:c r="D58" s="31" t="str"/>
      <x:c r="E58" s="31" t="str"/>
      <x:c r="F58" s="31" t="str">
        <x:v>Not Contacted</x:v>
      </x:c>
      <x:c r="G58" s="31" t="str"/>
      <x:c r="H58" s="33" t="str"/>
      <x:c r="I58" s="31" t="str">
        <x:v>No</x:v>
      </x:c>
      <x:c r="J58" s="31" t="str"/>
      <x:c r="K58" s="31" t="str"/>
    </x:row>
    <x:row r="59">
      <x:c r="A59" s="31" t="str"/>
      <x:c r="B59" s="31" t="str"/>
      <x:c r="C59" s="31" t="str"/>
      <x:c r="D59" s="31" t="str"/>
      <x:c r="E59" s="31" t="str"/>
      <x:c r="F59" s="31" t="str">
        <x:v>Not Contacted</x:v>
      </x:c>
      <x:c r="G59" s="31" t="str"/>
      <x:c r="H59" s="33" t="str"/>
      <x:c r="I59" s="31" t="str">
        <x:v>No</x:v>
      </x:c>
      <x:c r="J59" s="31" t="str"/>
      <x:c r="K59" s="31" t="str"/>
    </x:row>
    <x:row r="60">
      <x:c r="A60" s="31" t="str"/>
      <x:c r="B60" s="31" t="str"/>
      <x:c r="C60" s="31" t="str"/>
      <x:c r="D60" s="31" t="str"/>
      <x:c r="E60" s="31" t="str"/>
      <x:c r="F60" s="31" t="str">
        <x:v>Not Contacted</x:v>
      </x:c>
      <x:c r="G60" s="31" t="str"/>
      <x:c r="H60" s="33" t="str"/>
      <x:c r="I60" s="31" t="str">
        <x:v>No</x:v>
      </x:c>
      <x:c r="J60" s="31" t="str"/>
      <x:c r="K60" s="31" t="str"/>
    </x:row>
    <x:row r="61">
      <x:c r="A61" s="31" t="str"/>
      <x:c r="B61" s="31" t="str"/>
      <x:c r="C61" s="31" t="str"/>
      <x:c r="D61" s="31" t="str"/>
      <x:c r="E61" s="31" t="str"/>
      <x:c r="F61" s="31" t="str">
        <x:v>Not Contacted</x:v>
      </x:c>
      <x:c r="G61" s="31" t="str"/>
      <x:c r="H61" s="33" t="str"/>
      <x:c r="I61" s="31" t="str">
        <x:v>No</x:v>
      </x:c>
      <x:c r="J61" s="31" t="str"/>
      <x:c r="K61" s="31" t="str"/>
    </x:row>
    <x:row r="62">
      <x:c r="A62" s="31" t="str"/>
      <x:c r="B62" s="31" t="str"/>
      <x:c r="C62" s="31" t="str"/>
      <x:c r="D62" s="31" t="str"/>
      <x:c r="E62" s="31" t="str"/>
      <x:c r="F62" s="31" t="str">
        <x:v>Not Contacted</x:v>
      </x:c>
      <x:c r="G62" s="31" t="str"/>
      <x:c r="H62" s="33" t="str"/>
      <x:c r="I62" s="31" t="str">
        <x:v>No</x:v>
      </x:c>
      <x:c r="J62" s="31" t="str"/>
      <x:c r="K62" s="31" t="str"/>
    </x:row>
    <x:row r="63">
      <x:c r="A63" s="31" t="str"/>
      <x:c r="B63" s="31" t="str"/>
      <x:c r="C63" s="31" t="str"/>
      <x:c r="D63" s="31" t="str"/>
      <x:c r="E63" s="31" t="str"/>
      <x:c r="F63" s="31" t="str">
        <x:v>Not Contacted</x:v>
      </x:c>
      <x:c r="G63" s="31" t="str"/>
      <x:c r="H63" s="33" t="str"/>
      <x:c r="I63" s="31" t="str">
        <x:v>No</x:v>
      </x:c>
      <x:c r="J63" s="31" t="str"/>
      <x:c r="K63" s="31" t="str"/>
    </x:row>
    <x:row r="64">
      <x:c r="A64" s="31" t="str"/>
      <x:c r="B64" s="31" t="str"/>
      <x:c r="C64" s="31" t="str"/>
      <x:c r="D64" s="31" t="str"/>
      <x:c r="E64" s="31" t="str"/>
      <x:c r="F64" s="31" t="str">
        <x:v>Not Contacted</x:v>
      </x:c>
      <x:c r="G64" s="31" t="str"/>
      <x:c r="H64" s="33" t="str"/>
      <x:c r="I64" s="31" t="str">
        <x:v>No</x:v>
      </x:c>
      <x:c r="J64" s="31" t="str"/>
      <x:c r="K64" s="31" t="str"/>
    </x:row>
    <x:row r="65">
      <x:c r="A65" s="31" t="str"/>
      <x:c r="B65" s="31" t="str"/>
      <x:c r="C65" s="31" t="str"/>
      <x:c r="D65" s="31" t="str"/>
      <x:c r="E65" s="31" t="str"/>
      <x:c r="F65" s="31" t="str">
        <x:v>Not Contacted</x:v>
      </x:c>
      <x:c r="G65" s="31" t="str"/>
      <x:c r="H65" s="33" t="str"/>
      <x:c r="I65" s="31" t="str">
        <x:v>No</x:v>
      </x:c>
      <x:c r="J65" s="31" t="str"/>
      <x:c r="K65" s="31" t="str"/>
    </x:row>
    <x:row r="66">
      <x:c r="A66" s="31" t="str"/>
      <x:c r="B66" s="31" t="str"/>
      <x:c r="C66" s="31" t="str"/>
      <x:c r="D66" s="31" t="str"/>
      <x:c r="E66" s="31" t="str"/>
      <x:c r="F66" s="31" t="str">
        <x:v>Not Contacted</x:v>
      </x:c>
      <x:c r="G66" s="31" t="str"/>
      <x:c r="H66" s="33" t="str"/>
      <x:c r="I66" s="31" t="str">
        <x:v>No</x:v>
      </x:c>
      <x:c r="J66" s="31" t="str"/>
      <x:c r="K66" s="31" t="str"/>
    </x:row>
    <x:row r="67">
      <x:c r="A67" s="31" t="str"/>
      <x:c r="B67" s="31" t="str"/>
      <x:c r="C67" s="31" t="str"/>
      <x:c r="D67" s="31" t="str"/>
      <x:c r="E67" s="31" t="str"/>
      <x:c r="F67" s="31" t="str">
        <x:v>Not Contacted</x:v>
      </x:c>
      <x:c r="G67" s="31" t="str"/>
      <x:c r="H67" s="33" t="str"/>
      <x:c r="I67" s="31" t="str">
        <x:v>No</x:v>
      </x:c>
      <x:c r="J67" s="31" t="str"/>
      <x:c r="K67" s="31" t="str"/>
    </x:row>
    <x:row r="68">
      <x:c r="A68" s="31" t="str"/>
      <x:c r="B68" s="31" t="str"/>
      <x:c r="C68" s="31" t="str"/>
      <x:c r="D68" s="31" t="str"/>
      <x:c r="E68" s="31" t="str"/>
      <x:c r="F68" s="31" t="str">
        <x:v>Not Contacted</x:v>
      </x:c>
      <x:c r="G68" s="31" t="str"/>
      <x:c r="H68" s="33" t="str"/>
      <x:c r="I68" s="31" t="str">
        <x:v>No</x:v>
      </x:c>
      <x:c r="J68" s="31" t="str"/>
      <x:c r="K68" s="31" t="str"/>
    </x:row>
    <x:row r="69">
      <x:c r="A69" s="31" t="str"/>
      <x:c r="B69" s="31" t="str"/>
      <x:c r="C69" s="31" t="str"/>
      <x:c r="D69" s="31" t="str"/>
      <x:c r="E69" s="31" t="str"/>
      <x:c r="F69" s="31" t="str">
        <x:v>Not Contacted</x:v>
      </x:c>
      <x:c r="G69" s="31" t="str"/>
      <x:c r="H69" s="33" t="str"/>
      <x:c r="I69" s="31" t="str">
        <x:v>No</x:v>
      </x:c>
      <x:c r="J69" s="31" t="str"/>
      <x:c r="K69" s="31" t="str"/>
    </x:row>
    <x:row r="70">
      <x:c r="A70" s="31" t="str"/>
      <x:c r="B70" s="31" t="str"/>
      <x:c r="C70" s="31" t="str"/>
      <x:c r="D70" s="31" t="str"/>
      <x:c r="E70" s="31" t="str"/>
      <x:c r="F70" s="31" t="str">
        <x:v>Not Contacted</x:v>
      </x:c>
      <x:c r="G70" s="31" t="str"/>
      <x:c r="H70" s="33" t="str"/>
      <x:c r="I70" s="31" t="str">
        <x:v>No</x:v>
      </x:c>
      <x:c r="J70" s="31" t="str"/>
      <x:c r="K70" s="31" t="str"/>
    </x:row>
    <x:row r="71">
      <x:c r="A71" s="31" t="str"/>
      <x:c r="B71" s="31" t="str"/>
      <x:c r="C71" s="31" t="str"/>
      <x:c r="D71" s="31" t="str"/>
      <x:c r="E71" s="31" t="str"/>
      <x:c r="F71" s="31" t="str">
        <x:v>Not Contacted</x:v>
      </x:c>
      <x:c r="G71" s="31" t="str"/>
      <x:c r="H71" s="33" t="str"/>
      <x:c r="I71" s="31" t="str">
        <x:v>No</x:v>
      </x:c>
      <x:c r="J71" s="31" t="str"/>
      <x:c r="K71" s="31" t="str"/>
    </x:row>
    <x:row r="72">
      <x:c r="A72" s="31" t="str"/>
      <x:c r="B72" s="31" t="str"/>
      <x:c r="C72" s="31" t="str"/>
      <x:c r="D72" s="31" t="str"/>
      <x:c r="E72" s="31" t="str"/>
      <x:c r="F72" s="31" t="str">
        <x:v>Not Contacted</x:v>
      </x:c>
      <x:c r="G72" s="31" t="str"/>
      <x:c r="H72" s="33" t="str"/>
      <x:c r="I72" s="31" t="str">
        <x:v>No</x:v>
      </x:c>
      <x:c r="J72" s="31" t="str"/>
      <x:c r="K72" s="31" t="str"/>
    </x:row>
    <x:row r="73">
      <x:c r="A73" s="31" t="str"/>
      <x:c r="B73" s="31" t="str"/>
      <x:c r="C73" s="31" t="str"/>
      <x:c r="D73" s="31" t="str"/>
      <x:c r="E73" s="31" t="str"/>
      <x:c r="F73" s="31" t="str">
        <x:v>Not Contacted</x:v>
      </x:c>
      <x:c r="G73" s="31" t="str"/>
      <x:c r="H73" s="33" t="str"/>
      <x:c r="I73" s="31" t="str">
        <x:v>No</x:v>
      </x:c>
      <x:c r="J73" s="31" t="str"/>
      <x:c r="K73" s="31" t="str"/>
    </x:row>
    <x:row r="74">
      <x:c r="A74" s="31" t="str"/>
      <x:c r="B74" s="31" t="str"/>
      <x:c r="C74" s="31" t="str"/>
      <x:c r="D74" s="31" t="str"/>
      <x:c r="E74" s="31" t="str"/>
      <x:c r="F74" s="31" t="str">
        <x:v>Not Contacted</x:v>
      </x:c>
      <x:c r="G74" s="31" t="str"/>
      <x:c r="H74" s="33" t="str"/>
      <x:c r="I74" s="31" t="str">
        <x:v>No</x:v>
      </x:c>
      <x:c r="J74" s="31" t="str"/>
      <x:c r="K74" s="31" t="str"/>
    </x:row>
    <x:row r="75">
      <x:c r="A75" s="31" t="str"/>
      <x:c r="B75" s="31" t="str"/>
      <x:c r="C75" s="31" t="str"/>
      <x:c r="D75" s="31" t="str"/>
      <x:c r="E75" s="31" t="str"/>
      <x:c r="F75" s="31" t="str">
        <x:v>Not Contacted</x:v>
      </x:c>
      <x:c r="G75" s="31" t="str"/>
      <x:c r="H75" s="33" t="str"/>
      <x:c r="I75" s="31" t="str">
        <x:v>No</x:v>
      </x:c>
      <x:c r="J75" s="31" t="str"/>
      <x:c r="K75" s="31" t="str"/>
    </x:row>
    <x:row r="76">
      <x:c r="A76" s="31" t="str"/>
      <x:c r="B76" s="31" t="str"/>
      <x:c r="C76" s="31" t="str"/>
      <x:c r="D76" s="31" t="str"/>
      <x:c r="E76" s="31" t="str"/>
      <x:c r="F76" s="31" t="str">
        <x:v>Not Contacted</x:v>
      </x:c>
      <x:c r="G76" s="31" t="str"/>
      <x:c r="H76" s="33" t="str"/>
      <x:c r="I76" s="31" t="str">
        <x:v>No</x:v>
      </x:c>
      <x:c r="J76" s="31" t="str"/>
      <x:c r="K76" s="31" t="str"/>
    </x:row>
    <x:row r="77">
      <x:c r="A77" s="31" t="str"/>
      <x:c r="B77" s="31" t="str"/>
      <x:c r="C77" s="31" t="str"/>
      <x:c r="D77" s="31" t="str"/>
      <x:c r="E77" s="31" t="str"/>
      <x:c r="F77" s="31" t="str">
        <x:v>Not Contacted</x:v>
      </x:c>
      <x:c r="G77" s="31" t="str"/>
      <x:c r="H77" s="33" t="str"/>
      <x:c r="I77" s="31" t="str">
        <x:v>No</x:v>
      </x:c>
      <x:c r="J77" s="31" t="str"/>
      <x:c r="K77" s="31" t="str"/>
    </x:row>
    <x:row r="78">
      <x:c r="A78" s="31" t="str"/>
      <x:c r="B78" s="31" t="str"/>
      <x:c r="C78" s="31" t="str"/>
      <x:c r="D78" s="31" t="str"/>
      <x:c r="E78" s="31" t="str"/>
      <x:c r="F78" s="31" t="str">
        <x:v>Not Contacted</x:v>
      </x:c>
      <x:c r="G78" s="31" t="str"/>
      <x:c r="H78" s="33" t="str"/>
      <x:c r="I78" s="31" t="str">
        <x:v>No</x:v>
      </x:c>
      <x:c r="J78" s="31" t="str"/>
      <x:c r="K78" s="31" t="str"/>
    </x:row>
    <x:row r="79">
      <x:c r="A79" s="31" t="str"/>
      <x:c r="B79" s="31" t="str"/>
      <x:c r="C79" s="31" t="str"/>
      <x:c r="D79" s="31" t="str"/>
      <x:c r="E79" s="31" t="str"/>
      <x:c r="F79" s="31" t="str">
        <x:v>Not Contacted</x:v>
      </x:c>
      <x:c r="G79" s="31" t="str"/>
      <x:c r="H79" s="33" t="str"/>
      <x:c r="I79" s="31" t="str">
        <x:v>No</x:v>
      </x:c>
      <x:c r="J79" s="31" t="str"/>
      <x:c r="K79" s="31" t="str"/>
    </x:row>
    <x:row r="80">
      <x:c r="A80" s="31" t="str"/>
      <x:c r="B80" s="31" t="str"/>
      <x:c r="C80" s="31" t="str"/>
      <x:c r="D80" s="31" t="str"/>
      <x:c r="E80" s="31" t="str"/>
      <x:c r="F80" s="31" t="str">
        <x:v>Not Contacted</x:v>
      </x:c>
      <x:c r="G80" s="31" t="str"/>
      <x:c r="H80" s="33" t="str"/>
      <x:c r="I80" s="31" t="str">
        <x:v>No</x:v>
      </x:c>
      <x:c r="J80" s="31" t="str"/>
      <x:c r="K80" s="31" t="str"/>
    </x:row>
    <x:row r="81">
      <x:c r="A81" s="31" t="str"/>
      <x:c r="B81" s="31" t="str"/>
      <x:c r="C81" s="31" t="str"/>
      <x:c r="D81" s="31" t="str"/>
      <x:c r="E81" s="31" t="str"/>
      <x:c r="F81" s="31" t="str">
        <x:v>Not Contacted</x:v>
      </x:c>
      <x:c r="G81" s="31" t="str"/>
      <x:c r="H81" s="33" t="str"/>
      <x:c r="I81" s="31" t="str">
        <x:v>No</x:v>
      </x:c>
      <x:c r="J81" s="31" t="str"/>
      <x:c r="K81" s="31" t="str"/>
    </x:row>
    <x:row r="82">
      <x:c r="A82" s="31" t="str"/>
      <x:c r="B82" s="31" t="str"/>
      <x:c r="C82" s="31" t="str"/>
      <x:c r="D82" s="31" t="str"/>
      <x:c r="E82" s="31" t="str"/>
      <x:c r="F82" s="31" t="str">
        <x:v>Not Contacted</x:v>
      </x:c>
      <x:c r="G82" s="31" t="str"/>
      <x:c r="H82" s="33" t="str"/>
      <x:c r="I82" s="31" t="str">
        <x:v>No</x:v>
      </x:c>
      <x:c r="J82" s="31" t="str"/>
      <x:c r="K82" s="31" t="str"/>
    </x:row>
    <x:row r="83">
      <x:c r="A83" s="31" t="str"/>
      <x:c r="B83" s="31" t="str"/>
      <x:c r="C83" s="31" t="str"/>
      <x:c r="D83" s="31" t="str"/>
      <x:c r="E83" s="31" t="str"/>
      <x:c r="F83" s="31" t="str">
        <x:v>Not Contacted</x:v>
      </x:c>
      <x:c r="G83" s="31" t="str"/>
      <x:c r="H83" s="33" t="str"/>
      <x:c r="I83" s="31" t="str">
        <x:v>No</x:v>
      </x:c>
      <x:c r="J83" s="31" t="str"/>
      <x:c r="K83" s="31" t="str"/>
    </x:row>
    <x:row r="84">
      <x:c r="A84" s="31" t="str"/>
      <x:c r="B84" s="31" t="str"/>
      <x:c r="C84" s="31" t="str"/>
      <x:c r="D84" s="31" t="str"/>
      <x:c r="E84" s="31" t="str"/>
      <x:c r="F84" s="31" t="str">
        <x:v>Not Contacted</x:v>
      </x:c>
      <x:c r="G84" s="31" t="str"/>
      <x:c r="H84" s="33" t="str"/>
      <x:c r="I84" s="31" t="str">
        <x:v>No</x:v>
      </x:c>
      <x:c r="J84" s="31" t="str"/>
      <x:c r="K84" s="31" t="str"/>
    </x:row>
    <x:row r="85">
      <x:c r="A85" s="31" t="str"/>
      <x:c r="B85" s="31" t="str"/>
      <x:c r="C85" s="31" t="str"/>
      <x:c r="D85" s="31" t="str"/>
      <x:c r="E85" s="31" t="str"/>
      <x:c r="F85" s="31" t="str">
        <x:v>Not Contacted</x:v>
      </x:c>
      <x:c r="G85" s="31" t="str"/>
      <x:c r="H85" s="33" t="str"/>
      <x:c r="I85" s="31" t="str">
        <x:v>No</x:v>
      </x:c>
      <x:c r="J85" s="31" t="str"/>
      <x:c r="K85" s="31" t="str"/>
    </x:row>
    <x:row r="86">
      <x:c r="A86" s="31" t="str"/>
      <x:c r="B86" s="31" t="str"/>
      <x:c r="C86" s="31" t="str"/>
      <x:c r="D86" s="31" t="str"/>
      <x:c r="E86" s="31" t="str"/>
      <x:c r="F86" s="31" t="str">
        <x:v>Not Contacted</x:v>
      </x:c>
      <x:c r="G86" s="31" t="str"/>
      <x:c r="H86" s="33" t="str"/>
      <x:c r="I86" s="31" t="str">
        <x:v>No</x:v>
      </x:c>
      <x:c r="J86" s="31" t="str"/>
      <x:c r="K86" s="31" t="str"/>
    </x:row>
    <x:row r="87">
      <x:c r="A87" s="31" t="str"/>
      <x:c r="B87" s="31" t="str"/>
      <x:c r="C87" s="31" t="str"/>
      <x:c r="D87" s="31" t="str"/>
      <x:c r="E87" s="31" t="str"/>
      <x:c r="F87" s="31" t="str">
        <x:v>Not Contacted</x:v>
      </x:c>
      <x:c r="G87" s="31" t="str"/>
      <x:c r="H87" s="33" t="str"/>
      <x:c r="I87" s="31" t="str">
        <x:v>No</x:v>
      </x:c>
      <x:c r="J87" s="31" t="str"/>
      <x:c r="K87" s="31" t="str"/>
    </x:row>
    <x:row r="88">
      <x:c r="A88" s="31" t="str"/>
      <x:c r="B88" s="31" t="str"/>
      <x:c r="C88" s="31" t="str"/>
      <x:c r="D88" s="31" t="str"/>
      <x:c r="E88" s="31" t="str"/>
      <x:c r="F88" s="31" t="str">
        <x:v>Not Contacted</x:v>
      </x:c>
      <x:c r="G88" s="31" t="str"/>
      <x:c r="H88" s="33" t="str"/>
      <x:c r="I88" s="31" t="str">
        <x:v>No</x:v>
      </x:c>
      <x:c r="J88" s="31" t="str"/>
      <x:c r="K88" s="31" t="str"/>
    </x:row>
    <x:row r="89">
      <x:c r="A89" s="31" t="str"/>
      <x:c r="B89" s="31" t="str"/>
      <x:c r="C89" s="31" t="str"/>
      <x:c r="D89" s="31" t="str"/>
      <x:c r="E89" s="31" t="str"/>
      <x:c r="F89" s="31" t="str">
        <x:v>Not Contacted</x:v>
      </x:c>
      <x:c r="G89" s="31" t="str"/>
      <x:c r="H89" s="33" t="str"/>
      <x:c r="I89" s="31" t="str">
        <x:v>No</x:v>
      </x:c>
      <x:c r="J89" s="31" t="str"/>
      <x:c r="K89" s="31" t="str"/>
    </x:row>
    <x:row r="90">
      <x:c r="A90" s="31" t="str"/>
      <x:c r="B90" s="31" t="str"/>
      <x:c r="C90" s="31" t="str"/>
      <x:c r="D90" s="31" t="str"/>
      <x:c r="E90" s="31" t="str"/>
      <x:c r="F90" s="31" t="str">
        <x:v>Not Contacted</x:v>
      </x:c>
      <x:c r="G90" s="31" t="str"/>
      <x:c r="H90" s="33" t="str"/>
      <x:c r="I90" s="31" t="str">
        <x:v>No</x:v>
      </x:c>
      <x:c r="J90" s="31" t="str"/>
      <x:c r="K90" s="31" t="str"/>
    </x:row>
    <x:row r="91">
      <x:c r="A91" s="31" t="str"/>
      <x:c r="B91" s="31" t="str"/>
      <x:c r="C91" s="31" t="str"/>
      <x:c r="D91" s="31" t="str"/>
      <x:c r="E91" s="31" t="str"/>
      <x:c r="F91" s="31" t="str">
        <x:v>Not Contacted</x:v>
      </x:c>
      <x:c r="G91" s="31" t="str"/>
      <x:c r="H91" s="33" t="str"/>
      <x:c r="I91" s="31" t="str">
        <x:v>No</x:v>
      </x:c>
      <x:c r="J91" s="31" t="str"/>
      <x:c r="K91" s="31" t="str"/>
    </x:row>
    <x:row r="92">
      <x:c r="A92" s="31" t="str"/>
      <x:c r="B92" s="31" t="str"/>
      <x:c r="C92" s="31" t="str"/>
      <x:c r="D92" s="31" t="str"/>
      <x:c r="E92" s="31" t="str"/>
      <x:c r="F92" s="31" t="str">
        <x:v>Not Contacted</x:v>
      </x:c>
      <x:c r="G92" s="31" t="str"/>
      <x:c r="H92" s="33" t="str"/>
      <x:c r="I92" s="31" t="str">
        <x:v>No</x:v>
      </x:c>
      <x:c r="J92" s="31" t="str"/>
      <x:c r="K92" s="31" t="str"/>
    </x:row>
    <x:row r="93">
      <x:c r="A93" s="31" t="str"/>
      <x:c r="B93" s="31" t="str"/>
      <x:c r="C93" s="31" t="str"/>
      <x:c r="D93" s="31" t="str"/>
      <x:c r="E93" s="31" t="str"/>
      <x:c r="F93" s="31" t="str">
        <x:v>Not Contacted</x:v>
      </x:c>
      <x:c r="G93" s="31" t="str"/>
      <x:c r="H93" s="33" t="str"/>
      <x:c r="I93" s="31" t="str">
        <x:v>No</x:v>
      </x:c>
      <x:c r="J93" s="31" t="str"/>
      <x:c r="K93" s="31" t="str"/>
    </x:row>
    <x:row r="94">
      <x:c r="A94" s="31" t="str"/>
      <x:c r="B94" s="31" t="str"/>
      <x:c r="C94" s="31" t="str"/>
      <x:c r="D94" s="31" t="str"/>
      <x:c r="E94" s="31" t="str"/>
      <x:c r="F94" s="31" t="str">
        <x:v>Not Contacted</x:v>
      </x:c>
      <x:c r="G94" s="31" t="str"/>
      <x:c r="H94" s="33" t="str"/>
      <x:c r="I94" s="31" t="str">
        <x:v>No</x:v>
      </x:c>
      <x:c r="J94" s="31" t="str"/>
      <x:c r="K94" s="31" t="str"/>
    </x:row>
    <x:row r="95">
      <x:c r="A95" s="31" t="str"/>
      <x:c r="B95" s="31" t="str"/>
      <x:c r="C95" s="31" t="str"/>
      <x:c r="D95" s="31" t="str"/>
      <x:c r="E95" s="31" t="str"/>
      <x:c r="F95" s="31" t="str">
        <x:v>Not Contacted</x:v>
      </x:c>
      <x:c r="G95" s="31" t="str"/>
      <x:c r="H95" s="33" t="str"/>
      <x:c r="I95" s="31" t="str">
        <x:v>No</x:v>
      </x:c>
      <x:c r="J95" s="31" t="str"/>
      <x:c r="K95" s="31" t="str"/>
    </x:row>
    <x:row r="96">
      <x:c r="A96" s="31" t="str"/>
      <x:c r="B96" s="31" t="str"/>
      <x:c r="C96" s="31" t="str"/>
      <x:c r="D96" s="31" t="str"/>
      <x:c r="E96" s="31" t="str"/>
      <x:c r="F96" s="31" t="str">
        <x:v>Not Contacted</x:v>
      </x:c>
      <x:c r="G96" s="31" t="str"/>
      <x:c r="H96" s="33" t="str"/>
      <x:c r="I96" s="31" t="str">
        <x:v>No</x:v>
      </x:c>
      <x:c r="J96" s="31" t="str"/>
      <x:c r="K96" s="31" t="str"/>
    </x:row>
    <x:row r="97">
      <x:c r="A97" s="31" t="str"/>
      <x:c r="B97" s="31" t="str"/>
      <x:c r="C97" s="31" t="str"/>
      <x:c r="D97" s="31" t="str"/>
      <x:c r="E97" s="31" t="str"/>
      <x:c r="F97" s="31" t="str">
        <x:v>Not Contacted</x:v>
      </x:c>
      <x:c r="G97" s="31" t="str"/>
      <x:c r="H97" s="33" t="str"/>
      <x:c r="I97" s="31" t="str">
        <x:v>No</x:v>
      </x:c>
      <x:c r="J97" s="31" t="str"/>
      <x:c r="K97" s="31" t="str"/>
    </x:row>
    <x:row r="98">
      <x:c r="A98" s="31" t="str"/>
      <x:c r="B98" s="31" t="str"/>
      <x:c r="C98" s="31" t="str"/>
      <x:c r="D98" s="31" t="str"/>
      <x:c r="E98" s="31" t="str"/>
      <x:c r="F98" s="31" t="str">
        <x:v>Not Contacted</x:v>
      </x:c>
      <x:c r="G98" s="31" t="str"/>
      <x:c r="H98" s="33" t="str"/>
      <x:c r="I98" s="31" t="str">
        <x:v>No</x:v>
      </x:c>
      <x:c r="J98" s="31" t="str"/>
      <x:c r="K98" s="31" t="str"/>
    </x:row>
    <x:row r="99">
      <x:c r="A99" s="31" t="str"/>
      <x:c r="B99" s="31" t="str"/>
      <x:c r="C99" s="31" t="str"/>
      <x:c r="D99" s="31" t="str"/>
      <x:c r="E99" s="31" t="str"/>
      <x:c r="F99" s="31" t="str">
        <x:v>Not Contacted</x:v>
      </x:c>
      <x:c r="G99" s="31" t="str"/>
      <x:c r="H99" s="33" t="str"/>
      <x:c r="I99" s="31" t="str">
        <x:v>No</x:v>
      </x:c>
      <x:c r="J99" s="31" t="str"/>
      <x:c r="K99" s="31" t="str"/>
    </x:row>
    <x:row r="100">
      <x:c r="A100" s="31" t="str"/>
      <x:c r="B100" s="31" t="str"/>
      <x:c r="C100" s="31" t="str"/>
      <x:c r="D100" s="31" t="str"/>
      <x:c r="E100" s="31" t="str"/>
      <x:c r="F100" s="31" t="str">
        <x:v>Not Contacted</x:v>
      </x:c>
      <x:c r="G100" s="31" t="str"/>
      <x:c r="H100" s="33" t="str"/>
      <x:c r="I100" s="31" t="str">
        <x:v>No</x:v>
      </x:c>
      <x:c r="J100" s="31" t="str"/>
      <x:c r="K100" s="31" t="str"/>
    </x:row>
    <x:row r="101">
      <x:c r="A101" s="31" t="str"/>
      <x:c r="B101" s="31" t="str"/>
      <x:c r="C101" s="31" t="str"/>
      <x:c r="D101" s="31" t="str"/>
      <x:c r="E101" s="31" t="str"/>
      <x:c r="F101" s="31" t="str">
        <x:v>Not Contacted</x:v>
      </x:c>
      <x:c r="G101" s="31" t="str"/>
      <x:c r="H101" s="33" t="str"/>
      <x:c r="I101" s="31" t="str">
        <x:v>No</x:v>
      </x:c>
      <x:c r="J101" s="31" t="str"/>
      <x:c r="K101" s="31" t="str"/>
    </x:row>
    <x:row r="102">
      <x:c r="A102" s="31" t="str"/>
      <x:c r="B102" s="31" t="str"/>
      <x:c r="C102" s="31" t="str"/>
      <x:c r="D102" s="31" t="str"/>
      <x:c r="E102" s="31" t="str"/>
      <x:c r="F102" s="31" t="str">
        <x:v>Not Contacted</x:v>
      </x:c>
      <x:c r="G102" s="31" t="str"/>
      <x:c r="H102" s="33" t="str"/>
      <x:c r="I102" s="31" t="str">
        <x:v>No</x:v>
      </x:c>
      <x:c r="J102" s="31" t="str"/>
      <x:c r="K102" s="31" t="str"/>
    </x:row>
    <x:row r="103">
      <x:c r="A103" s="31" t="str"/>
      <x:c r="B103" s="31" t="str"/>
      <x:c r="C103" s="31" t="str"/>
      <x:c r="D103" s="31" t="str"/>
      <x:c r="E103" s="31" t="str"/>
      <x:c r="F103" s="31" t="str">
        <x:v>Not Contacted</x:v>
      </x:c>
      <x:c r="G103" s="31" t="str"/>
      <x:c r="H103" s="33" t="str"/>
      <x:c r="I103" s="31" t="str">
        <x:v>No</x:v>
      </x:c>
      <x:c r="J103" s="31" t="str"/>
      <x:c r="K103" s="31" t="str"/>
    </x:row>
  </x:sheetData>
  <x:mergeCells>
    <x:mergeCell ref="A1:K1"/>
  </x:mergeCells>
  <x:conditionalFormatting sqref="F4:F103">
    <x:cfRule type="expression" dxfId="7" priority="1">
      <x:formula>F4="Applied"</x:formula>
    </x:cfRule>
    <x:cfRule type="expression" dxfId="8" priority="2">
      <x:formula>F4="Interview"</x:formula>
    </x:cfRule>
  </x:conditionalFormatting>
  <x:dataValidations count="2">
    <x:dataValidation type="list" sqref="F4:F103">
      <x:formula1>"Research,Not Contacted,Contacted,Referral,Applied,Rejected,Interview,Offer,Withdrawn"</x:formula1>
    </x:dataValidation>
    <x:dataValidation type="list" sqref="I4:I103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e8a4693695e4d6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4" hidden="0" customWidth="1"/>
    <x:col min="4" max="4" width="10" hidden="0" customWidth="1"/>
    <x:col min="5" max="5" width="34" hidden="0" customWidth="1"/>
    <x:col min="6" max="6" width="18" hidden="0" customWidth="1"/>
    <x:col min="7" max="7" width="14" hidden="0" customWidth="1"/>
    <x:col min="8" max="8" width="16" hidden="0" customWidth="1"/>
    <x:col min="9" max="9" width="12" hidden="0" customWidth="1"/>
    <x:col min="10" max="10" width="34" hidden="0" customWidth="1"/>
  </x:cols>
  <x:sheetData>
    <x:row r="1" ht="28" customHeight="1">
      <x:c r="A1" s="5" t="str">
        <x:v>RESUME, GITHUB &amp; CAREER BUILD CHECKLIST</x:v>
      </x:c>
    </x:row>
    <x:row r="3">
      <x:c r="A3" s="25" t="str">
        <x:v>Area</x:v>
      </x:c>
      <x:c r="B3" s="25" t="str">
        <x:v>Action</x:v>
      </x:c>
      <x:c r="C3" s="25" t="str">
        <x:v>Target Month</x:v>
      </x:c>
      <x:c r="D3" s="25" t="str">
        <x:v>Done?</x:v>
      </x:c>
      <x:c r="E3" s="25" t="str">
        <x:v>Evidence/Link</x:v>
      </x:c>
      <x:c r="F3" s="25" t="str">
        <x:v>Metric / Number</x:v>
      </x:c>
      <x:c r="G3" s="25" t="str">
        <x:v>Current Version</x:v>
      </x:c>
      <x:c r="H3" s="25" t="str">
        <x:v>Next Revision</x:v>
      </x:c>
      <x:c r="I3" s="25" t="str">
        <x:v>Priority</x:v>
      </x:c>
      <x:c r="J3" s="25" t="str">
        <x:v>Notes</x:v>
      </x:c>
    </x:row>
    <x:row r="4">
      <x:c r="A4" s="31" t="str">
        <x:v>Resume</x:v>
      </x:c>
      <x:c r="B4" s="31" t="str">
        <x:v>Create 3-line Google-aligned summary</x:v>
      </x:c>
      <x:c r="C4" s="31" t="n">
        <x:v>1</x:v>
      </x:c>
      <x:c r="D4" s="31" t="str">
        <x:v>No</x:v>
      </x:c>
      <x:c r="E4" s="31" t="str"/>
      <x:c r="F4" s="31" t="str"/>
      <x:c r="G4" s="31" t="str"/>
      <x:c r="H4" s="31" t="str"/>
      <x:c r="I4" s="31" t="str">
        <x:v>Critical</x:v>
      </x:c>
      <x:c r="J4" s="31" t="str">
        <x:v>Software-first + AI/ML specialization</x:v>
      </x:c>
    </x:row>
    <x:row r="5">
      <x:c r="A5" s="31" t="str">
        <x:v>Resume</x:v>
      </x:c>
      <x:c r="B5" s="31" t="str">
        <x:v>Rewrite current-job bullets around impact</x:v>
      </x:c>
      <x:c r="C5" s="31" t="n">
        <x:v>2</x:v>
      </x:c>
      <x:c r="D5" s="31" t="str">
        <x:v>No</x:v>
      </x:c>
      <x:c r="E5" s="31" t="str"/>
      <x:c r="F5" s="31" t="str"/>
      <x:c r="G5" s="31" t="str"/>
      <x:c r="H5" s="31" t="str"/>
      <x:c r="I5" s="31" t="str">
        <x:v>Critical</x:v>
      </x:c>
      <x:c r="J5" s="31" t="str">
        <x:v>Only use truthful metrics</x:v>
      </x:c>
    </x:row>
    <x:row r="6">
      <x:c r="A6" s="31" t="str">
        <x:v>Resume</x:v>
      </x:c>
      <x:c r="B6" s="31" t="str">
        <x:v>Add Project 1 bullets</x:v>
      </x:c>
      <x:c r="C6" s="31" t="n">
        <x:v>7</x:v>
      </x:c>
      <x:c r="D6" s="31" t="str">
        <x:v>No</x:v>
      </x:c>
      <x:c r="E6" s="31" t="str"/>
      <x:c r="F6" s="31" t="str"/>
      <x:c r="G6" s="31" t="str"/>
      <x:c r="H6" s="31" t="str"/>
      <x:c r="I6" s="31" t="str">
        <x:v>Critical</x:v>
      </x:c>
      <x:c r="J6" s="31" t="str">
        <x:v>RAG + agents + eval + production</x:v>
      </x:c>
    </x:row>
    <x:row r="7">
      <x:c r="A7" s="31" t="str">
        <x:v>Resume</x:v>
      </x:c>
      <x:c r="B7" s="31" t="str">
        <x:v>Add Project 2 bullets</x:v>
      </x:c>
      <x:c r="C7" s="31" t="n">
        <x:v>6</x:v>
      </x:c>
      <x:c r="D7" s="31" t="str">
        <x:v>No</x:v>
      </x:c>
      <x:c r="E7" s="31" t="str"/>
      <x:c r="F7" s="31" t="str"/>
      <x:c r="G7" s="31" t="str"/>
      <x:c r="H7" s="31" t="str"/>
      <x:c r="I7" s="31" t="str">
        <x:v>Critical</x:v>
      </x:c>
      <x:c r="J7" s="31" t="str">
        <x:v>ML platform + registry + canary</x:v>
      </x:c>
    </x:row>
    <x:row r="8">
      <x:c r="A8" s="31" t="str">
        <x:v>Resume</x:v>
      </x:c>
      <x:c r="B8" s="31" t="str">
        <x:v>Add Project 3 bullets</x:v>
      </x:c>
      <x:c r="C8" s="31" t="n">
        <x:v>9</x:v>
      </x:c>
      <x:c r="D8" s="31" t="str">
        <x:v>No</x:v>
      </x:c>
      <x:c r="E8" s="31" t="str"/>
      <x:c r="F8" s="31" t="str"/>
      <x:c r="G8" s="31" t="str"/>
      <x:c r="H8" s="31" t="str"/>
      <x:c r="I8" s="31" t="str">
        <x:v>High</x:v>
      </x:c>
      <x:c r="J8" s="31" t="str">
        <x:v>React/TS + cloud</x:v>
      </x:c>
    </x:row>
    <x:row r="9">
      <x:c r="A9" s="31" t="str">
        <x:v>Resume</x:v>
      </x:c>
      <x:c r="B9" s="31" t="str">
        <x:v>Final one-page resume</x:v>
      </x:c>
      <x:c r="C9" s="31" t="n">
        <x:v>12</x:v>
      </x:c>
      <x:c r="D9" s="31" t="str">
        <x:v>No</x:v>
      </x:c>
      <x:c r="E9" s="31" t="str"/>
      <x:c r="F9" s="31" t="str"/>
      <x:c r="G9" s="31" t="str"/>
      <x:c r="H9" s="31" t="str"/>
      <x:c r="I9" s="31" t="str">
        <x:v>Critical</x:v>
      </x:c>
      <x:c r="J9" s="31" t="str">
        <x:v>Target each role</x:v>
      </x:c>
    </x:row>
    <x:row r="10">
      <x:c r="A10" s="31" t="str">
        <x:v>GitHub</x:v>
      </x:c>
      <x:c r="B10" s="31" t="str">
        <x:v>Pin 5 strongest repos</x:v>
      </x:c>
      <x:c r="C10" s="31" t="n">
        <x:v>8</x:v>
      </x:c>
      <x:c r="D10" s="31" t="str">
        <x:v>No</x:v>
      </x:c>
      <x:c r="E10" s="31" t="str"/>
      <x:c r="F10" s="31" t="str"/>
      <x:c r="G10" s="31" t="str"/>
      <x:c r="H10" s="31" t="str"/>
      <x:c r="I10" s="31" t="str">
        <x:v>High</x:v>
      </x:c>
      <x:c r="J10" s="31" t="str">
        <x:v>3 flagship + DSA + ML research</x:v>
      </x:c>
    </x:row>
    <x:row r="11">
      <x:c r="A11" s="31" t="str">
        <x:v>GitHub</x:v>
      </x:c>
      <x:c r="B11" s="31" t="str">
        <x:v>Create architecture diagrams</x:v>
      </x:c>
      <x:c r="C11" s="31" t="n">
        <x:v>6</x:v>
      </x:c>
      <x:c r="D11" s="31" t="str">
        <x:v>No</x:v>
      </x:c>
      <x:c r="E11" s="31" t="str"/>
      <x:c r="F11" s="31" t="str"/>
      <x:c r="G11" s="31" t="str"/>
      <x:c r="H11" s="31" t="str"/>
      <x:c r="I11" s="31" t="str">
        <x:v>High</x:v>
      </x:c>
      <x:c r="J11" s="31" t="str">
        <x:v>Readable PNG/SVG</x:v>
      </x:c>
    </x:row>
    <x:row r="12">
      <x:c r="A12" s="31" t="str">
        <x:v>GitHub</x:v>
      </x:c>
      <x:c r="B12" s="31" t="str">
        <x:v>Add benchmarks/results</x:v>
      </x:c>
      <x:c r="C12" s="31" t="n">
        <x:v>6</x:v>
      </x:c>
      <x:c r="D12" s="31" t="str">
        <x:v>No</x:v>
      </x:c>
      <x:c r="E12" s="31" t="str"/>
      <x:c r="F12" s="31" t="str"/>
      <x:c r="G12" s="31" t="str"/>
      <x:c r="H12" s="31" t="str"/>
      <x:c r="I12" s="31" t="str">
        <x:v>Critical</x:v>
      </x:c>
      <x:c r="J12" s="31" t="str">
        <x:v>No fake numbers</x:v>
      </x:c>
    </x:row>
    <x:row r="13">
      <x:c r="A13" s="31" t="str">
        <x:v>GitHub</x:v>
      </x:c>
      <x:c r="B13" s="31" t="str">
        <x:v>Add deployment instructions</x:v>
      </x:c>
      <x:c r="C13" s="31" t="n">
        <x:v>9</x:v>
      </x:c>
      <x:c r="D13" s="31" t="str">
        <x:v>No</x:v>
      </x:c>
      <x:c r="E13" s="31" t="str"/>
      <x:c r="F13" s="31" t="str"/>
      <x:c r="G13" s="31" t="str"/>
      <x:c r="H13" s="31" t="str"/>
      <x:c r="I13" s="31" t="str">
        <x:v>High</x:v>
      </x:c>
      <x:c r="J13" s="31" t="str">
        <x:v>GCP + Docker + K8s</x:v>
      </x:c>
    </x:row>
    <x:row r="14">
      <x:c r="A14" s="31" t="str">
        <x:v>LinkedIn</x:v>
      </x:c>
      <x:c r="B14" s="31" t="str">
        <x:v>Update headline</x:v>
      </x:c>
      <x:c r="C14" s="31" t="n">
        <x:v>8</x:v>
      </x:c>
      <x:c r="D14" s="31" t="str">
        <x:v>No</x:v>
      </x:c>
      <x:c r="E14" s="31" t="str"/>
      <x:c r="F14" s="31" t="str"/>
      <x:c r="G14" s="31" t="str"/>
      <x:c r="H14" s="31" t="str"/>
      <x:c r="I14" s="31" t="str">
        <x:v>High</x:v>
      </x:c>
      <x:c r="J14" s="31" t="str">
        <x:v>Software Engineer | AI/ML | GenAI</x:v>
      </x:c>
    </x:row>
    <x:row r="15">
      <x:c r="A15" s="31" t="str">
        <x:v>LinkedIn</x:v>
      </x:c>
      <x:c r="B15" s="31" t="str">
        <x:v>Publish RAG benchmark post</x:v>
      </x:c>
      <x:c r="C15" s="31" t="n">
        <x:v>6</x:v>
      </x:c>
      <x:c r="D15" s="31" t="str">
        <x:v>No</x:v>
      </x:c>
      <x:c r="E15" s="31" t="str"/>
      <x:c r="F15" s="31" t="str"/>
      <x:c r="G15" s="31" t="str"/>
      <x:c r="H15" s="31" t="str"/>
      <x:c r="I15" s="31" t="str">
        <x:v>Medium</x:v>
      </x:c>
      <x:c r="J15" s="31" t="str">
        <x:v>Technical writing</x:v>
      </x:c>
    </x:row>
    <x:row r="16">
      <x:c r="A16" s="31" t="str">
        <x:v>LinkedIn</x:v>
      </x:c>
      <x:c r="B16" s="31" t="str">
        <x:v>Publish agent governance post</x:v>
      </x:c>
      <x:c r="C16" s="31" t="n">
        <x:v>7</x:v>
      </x:c>
      <x:c r="D16" s="31" t="str">
        <x:v>No</x:v>
      </x:c>
      <x:c r="E16" s="31" t="str"/>
      <x:c r="F16" s="31" t="str"/>
      <x:c r="G16" s="31" t="str"/>
      <x:c r="H16" s="31" t="str"/>
      <x:c r="I16" s="31" t="str">
        <x:v>Medium</x:v>
      </x:c>
      <x:c r="J16" s="31" t="str">
        <x:v>Technical writing</x:v>
      </x:c>
    </x:row>
    <x:row r="17">
      <x:c r="A17" s="31" t="str">
        <x:v>Networking</x:v>
      </x:c>
      <x:c r="B17" s="31" t="str">
        <x:v>Build list of target Googlers/recruiters</x:v>
      </x:c>
      <x:c r="C17" s="31" t="n">
        <x:v>9</x:v>
      </x:c>
      <x:c r="D17" s="31" t="str">
        <x:v>No</x:v>
      </x:c>
      <x:c r="E17" s="31" t="str"/>
      <x:c r="F17" s="31" t="str"/>
      <x:c r="G17" s="31" t="str"/>
      <x:c r="H17" s="31" t="str"/>
      <x:c r="I17" s="31" t="str">
        <x:v>High</x:v>
      </x:c>
      <x:c r="J17" s="31" t="str">
        <x:v>No spam</x:v>
      </x:c>
    </x:row>
    <x:row r="18">
      <x:c r="A18" s="31" t="str">
        <x:v>Networking</x:v>
      </x:c>
      <x:c r="B18" s="31" t="str">
        <x:v>Ask for technical feedback before referrals</x:v>
      </x:c>
      <x:c r="C18" s="31" t="n">
        <x:v>9</x:v>
      </x:c>
      <x:c r="D18" s="31" t="str">
        <x:v>No</x:v>
      </x:c>
      <x:c r="E18" s="31" t="str"/>
      <x:c r="F18" s="31" t="str"/>
      <x:c r="G18" s="31" t="str"/>
      <x:c r="H18" s="31" t="str"/>
      <x:c r="I18" s="31" t="str">
        <x:v>High</x:v>
      </x:c>
      <x:c r="J18" s="31" t="str">
        <x:v>Relationship first</x:v>
      </x:c>
    </x:row>
    <x:row r="19">
      <x:c r="A19" s="31" t="str">
        <x:v>Interview</x:v>
      </x:c>
      <x:c r="B19" s="31" t="str">
        <x:v>Create STAR story bank</x:v>
      </x:c>
      <x:c r="C19" s="31" t="n">
        <x:v>10</x:v>
      </x:c>
      <x:c r="D19" s="31" t="str">
        <x:v>No</x:v>
      </x:c>
      <x:c r="E19" s="31" t="str"/>
      <x:c r="F19" s="31" t="str"/>
      <x:c r="G19" s="31" t="str"/>
      <x:c r="H19" s="31" t="str"/>
      <x:c r="I19" s="31" t="str">
        <x:v>Critical</x:v>
      </x:c>
      <x:c r="J19" s="31" t="str">
        <x:v>Leadership/ambiguity/failure</x:v>
      </x:c>
    </x:row>
  </x:sheetData>
  <x:mergeCells>
    <x:mergeCell ref="A1:J1"/>
  </x:mergeCells>
  <x:conditionalFormatting sqref="D4:D19">
    <x:cfRule type="expression" dxfId="9" priority="1">
      <x:formula>D4="Yes"</x:formula>
    </x:cfRule>
  </x:conditionalFormatting>
  <x:dataValidations count="1">
    <x:dataValidation type="list" sqref="D4:D19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483d1173224178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8" hidden="0" customWidth="1"/>
    <x:col min="3" max="3" width="12" hidden="0" customWidth="1"/>
    <x:col min="4" max="4" width="14" hidden="0" customWidth="1"/>
    <x:col min="5" max="5" width="12" hidden="0" customWidth="1"/>
    <x:col min="6" max="6" width="18" hidden="0" customWidth="1"/>
    <x:col min="7" max="7" width="12" hidden="0" customWidth="1"/>
    <x:col min="8" max="8" width="12" hidden="0" customWidth="1"/>
    <x:col min="9" max="9" width="12" hidden="0" customWidth="1"/>
    <x:col min="10" max="10" width="16" hidden="0" customWidth="1"/>
  </x:cols>
  <x:sheetData>
    <x:row r="1" ht="28" customHeight="1">
      <x:c r="A1" s="5" t="str">
        <x:v>DAILY 2–3 HOUR HABIT TRACKER</x:v>
      </x:c>
    </x:row>
    <x:row r="3">
      <x:c r="A3" s="25" t="str">
        <x:v>Date</x:v>
      </x:c>
      <x:c r="B3" s="25" t="str">
        <x:v>Day</x:v>
      </x:c>
      <x:c r="C3" s="25" t="str">
        <x:v>DSA (min)</x:v>
      </x:c>
      <x:c r="D3" s="25" t="str">
        <x:v>Project (min)</x:v>
      </x:c>
      <x:c r="E3" s="25" t="str">
        <x:v>ML/AI (min)</x:v>
      </x:c>
      <x:c r="F3" s="25" t="str">
        <x:v>System Design (min)</x:v>
      </x:c>
      <x:c r="G3" s="25" t="str">
        <x:v>Career (min)</x:v>
      </x:c>
      <x:c r="H3" s="25" t="str">
        <x:v>Total (min)</x:v>
      </x:c>
      <x:c r="I3" s="25" t="str">
        <x:v>Total Hours</x:v>
      </x:c>
      <x:c r="J3" s="25" t="str">
        <x:v>Daily Goal Met?</x:v>
      </x:c>
    </x:row>
    <x:row r="4">
      <x:c r="A4" s="14" t="n">
        <x:v>46275</x:v>
      </x:c>
      <x:c r="B4" s="16" t="str">
        <x:f>TEXT(A4,"ddd")</x:f>
        <x:v>Thu</x:v>
      </x:c>
      <x:c r="C4" s="16" t="n">
        <x:v>0</x:v>
      </x:c>
      <x:c r="D4" s="16" t="n">
        <x:v>0</x:v>
      </x:c>
      <x:c r="E4" s="16" t="n">
        <x:v>0</x:v>
      </x:c>
      <x:c r="F4" s="16" t="n">
        <x:v>0</x:v>
      </x:c>
      <x:c r="G4" s="16" t="n">
        <x:v>0</x:v>
      </x:c>
      <x:c r="H4" s="16" t="n">
        <x:f>SUM(C4:G4)</x:f>
        <x:v>0</x:v>
      </x:c>
      <x:c r="I4" s="35" t="n">
        <x:f>H4/60</x:f>
        <x:v>0</x:v>
      </x:c>
      <x:c r="J4" s="16" t="str">
        <x:f>IF(I4&gt;=2,"Yes","No")</x:f>
        <x:v>No</x:v>
      </x:c>
    </x:row>
    <x:row r="5">
      <x:c r="A5" s="14" t="n">
        <x:v>46276</x:v>
      </x:c>
      <x:c r="B5" s="16" t="str">
        <x:f>TEXT(A5,"ddd")</x:f>
        <x:v>Fri</x:v>
      </x:c>
      <x:c r="C5" s="16" t="n">
        <x:v>0</x:v>
      </x:c>
      <x:c r="D5" s="16" t="n">
        <x:v>0</x:v>
      </x:c>
      <x:c r="E5" s="16" t="n">
        <x:v>0</x:v>
      </x:c>
      <x:c r="F5" s="16" t="n">
        <x:v>0</x:v>
      </x:c>
      <x:c r="G5" s="16" t="n">
        <x:v>0</x:v>
      </x:c>
      <x:c r="H5" s="16" t="n">
        <x:f>SUM(C5:G5)</x:f>
        <x:v>0</x:v>
      </x:c>
      <x:c r="I5" s="35" t="n">
        <x:f>H5/60</x:f>
        <x:v>0</x:v>
      </x:c>
      <x:c r="J5" s="16" t="str">
        <x:f>IF(I5&gt;=2,"Yes","No")</x:f>
        <x:v>No</x:v>
      </x:c>
    </x:row>
    <x:row r="6">
      <x:c r="A6" s="14" t="n">
        <x:v>46277</x:v>
      </x:c>
      <x:c r="B6" s="16" t="str">
        <x:f>TEXT(A6,"ddd")</x:f>
        <x:v>Sat</x:v>
      </x:c>
      <x:c r="C6" s="16" t="n">
        <x:v>0</x:v>
      </x:c>
      <x:c r="D6" s="16" t="n">
        <x:v>0</x:v>
      </x:c>
      <x:c r="E6" s="16" t="n">
        <x:v>0</x:v>
      </x:c>
      <x:c r="F6" s="16" t="n">
        <x:v>0</x:v>
      </x:c>
      <x:c r="G6" s="16" t="n">
        <x:v>0</x:v>
      </x:c>
      <x:c r="H6" s="16" t="n">
        <x:f>SUM(C6:G6)</x:f>
        <x:v>0</x:v>
      </x:c>
      <x:c r="I6" s="35" t="n">
        <x:f>H6/60</x:f>
        <x:v>0</x:v>
      </x:c>
      <x:c r="J6" s="16" t="str">
        <x:f>IF(I6&gt;=2,"Yes","No")</x:f>
        <x:v>No</x:v>
      </x:c>
    </x:row>
    <x:row r="7">
      <x:c r="A7" s="14" t="n">
        <x:v>46278</x:v>
      </x:c>
      <x:c r="B7" s="16" t="str">
        <x:f>TEXT(A7,"ddd")</x:f>
        <x:v>Sun</x:v>
      </x:c>
      <x:c r="C7" s="16" t="n">
        <x:v>0</x:v>
      </x:c>
      <x:c r="D7" s="16" t="n">
        <x:v>0</x:v>
      </x:c>
      <x:c r="E7" s="16" t="n">
        <x:v>0</x:v>
      </x:c>
      <x:c r="F7" s="16" t="n">
        <x:v>0</x:v>
      </x:c>
      <x:c r="G7" s="16" t="n">
        <x:v>0</x:v>
      </x:c>
      <x:c r="H7" s="16" t="n">
        <x:f>SUM(C7:G7)</x:f>
        <x:v>0</x:v>
      </x:c>
      <x:c r="I7" s="35" t="n">
        <x:f>H7/60</x:f>
        <x:v>0</x:v>
      </x:c>
      <x:c r="J7" s="16" t="str">
        <x:f>IF(I7&gt;=2,"Yes","No")</x:f>
        <x:v>No</x:v>
      </x:c>
    </x:row>
    <x:row r="8">
      <x:c r="A8" s="14" t="n">
        <x:v>46279</x:v>
      </x:c>
      <x:c r="B8" s="16" t="str">
        <x:f>TEXT(A8,"ddd")</x:f>
        <x:v>Mon</x:v>
      </x:c>
      <x:c r="C8" s="16" t="n">
        <x:v>0</x:v>
      </x:c>
      <x:c r="D8" s="16" t="n">
        <x:v>0</x:v>
      </x:c>
      <x:c r="E8" s="16" t="n">
        <x:v>0</x:v>
      </x:c>
      <x:c r="F8" s="16" t="n">
        <x:v>0</x:v>
      </x:c>
      <x:c r="G8" s="16" t="n">
        <x:v>0</x:v>
      </x:c>
      <x:c r="H8" s="16" t="n">
        <x:f>SUM(C8:G8)</x:f>
        <x:v>0</x:v>
      </x:c>
      <x:c r="I8" s="35" t="n">
        <x:f>H8/60</x:f>
        <x:v>0</x:v>
      </x:c>
      <x:c r="J8" s="16" t="str">
        <x:f>IF(I8&gt;=2,"Yes","No")</x:f>
        <x:v>No</x:v>
      </x:c>
    </x:row>
    <x:row r="9">
      <x:c r="A9" s="14" t="n">
        <x:v>46280</x:v>
      </x:c>
      <x:c r="B9" s="16" t="str">
        <x:f>TEXT(A9,"ddd")</x:f>
        <x:v>Tue</x:v>
      </x:c>
      <x:c r="C9" s="16" t="n">
        <x:v>0</x:v>
      </x:c>
      <x:c r="D9" s="16" t="n">
        <x:v>0</x:v>
      </x:c>
      <x:c r="E9" s="16" t="n">
        <x:v>0</x:v>
      </x:c>
      <x:c r="F9" s="16" t="n">
        <x:v>0</x:v>
      </x:c>
      <x:c r="G9" s="16" t="n">
        <x:v>0</x:v>
      </x:c>
      <x:c r="H9" s="16" t="n">
        <x:f>SUM(C9:G9)</x:f>
        <x:v>0</x:v>
      </x:c>
      <x:c r="I9" s="35" t="n">
        <x:f>H9/60</x:f>
        <x:v>0</x:v>
      </x:c>
      <x:c r="J9" s="16" t="str">
        <x:f>IF(I9&gt;=2,"Yes","No")</x:f>
        <x:v>No</x:v>
      </x:c>
    </x:row>
    <x:row r="10">
      <x:c r="A10" s="14" t="n">
        <x:v>46281</x:v>
      </x:c>
      <x:c r="B10" s="16" t="str">
        <x:f>TEXT(A10,"ddd")</x:f>
        <x:v>Wed</x:v>
      </x:c>
      <x:c r="C10" s="16" t="n">
        <x:v>0</x:v>
      </x:c>
      <x:c r="D10" s="16" t="n">
        <x:v>0</x:v>
      </x:c>
      <x:c r="E10" s="16" t="n">
        <x:v>0</x:v>
      </x:c>
      <x:c r="F10" s="16" t="n">
        <x:v>0</x:v>
      </x:c>
      <x:c r="G10" s="16" t="n">
        <x:v>0</x:v>
      </x:c>
      <x:c r="H10" s="16" t="n">
        <x:f>SUM(C10:G10)</x:f>
        <x:v>0</x:v>
      </x:c>
      <x:c r="I10" s="35" t="n">
        <x:f>H10/60</x:f>
        <x:v>0</x:v>
      </x:c>
      <x:c r="J10" s="16" t="str">
        <x:f>IF(I10&gt;=2,"Yes","No")</x:f>
        <x:v>No</x:v>
      </x:c>
    </x:row>
    <x:row r="11">
      <x:c r="A11" s="14" t="n">
        <x:v>46282</x:v>
      </x:c>
      <x:c r="B11" s="16" t="str">
        <x:f>TEXT(A11,"ddd")</x:f>
        <x:v>Thu</x:v>
      </x:c>
      <x:c r="C11" s="16" t="n">
        <x:v>0</x:v>
      </x:c>
      <x:c r="D11" s="16" t="n">
        <x:v>0</x:v>
      </x:c>
      <x:c r="E11" s="16" t="n">
        <x:v>0</x:v>
      </x:c>
      <x:c r="F11" s="16" t="n">
        <x:v>0</x:v>
      </x:c>
      <x:c r="G11" s="16" t="n">
        <x:v>0</x:v>
      </x:c>
      <x:c r="H11" s="16" t="n">
        <x:f>SUM(C11:G11)</x:f>
        <x:v>0</x:v>
      </x:c>
      <x:c r="I11" s="35" t="n">
        <x:f>H11/60</x:f>
        <x:v>0</x:v>
      </x:c>
      <x:c r="J11" s="16" t="str">
        <x:f>IF(I11&gt;=2,"Yes","No")</x:f>
        <x:v>No</x:v>
      </x:c>
    </x:row>
    <x:row r="12">
      <x:c r="A12" s="14" t="n">
        <x:v>46283</x:v>
      </x:c>
      <x:c r="B12" s="16" t="str">
        <x:f>TEXT(A12,"ddd")</x:f>
        <x:v>Fri</x:v>
      </x:c>
      <x:c r="C12" s="16" t="n">
        <x:v>0</x:v>
      </x:c>
      <x:c r="D12" s="16" t="n">
        <x:v>0</x:v>
      </x:c>
      <x:c r="E12" s="16" t="n">
        <x:v>0</x:v>
      </x:c>
      <x:c r="F12" s="16" t="n">
        <x:v>0</x:v>
      </x:c>
      <x:c r="G12" s="16" t="n">
        <x:v>0</x:v>
      </x:c>
      <x:c r="H12" s="16" t="n">
        <x:f>SUM(C12:G12)</x:f>
        <x:v>0</x:v>
      </x:c>
      <x:c r="I12" s="35" t="n">
        <x:f>H12/60</x:f>
        <x:v>0</x:v>
      </x:c>
      <x:c r="J12" s="16" t="str">
        <x:f>IF(I12&gt;=2,"Yes","No")</x:f>
        <x:v>No</x:v>
      </x:c>
    </x:row>
    <x:row r="13">
      <x:c r="A13" s="14" t="n">
        <x:v>46284</x:v>
      </x:c>
      <x:c r="B13" s="16" t="str">
        <x:f>TEXT(A13,"ddd")</x:f>
        <x:v>Sat</x:v>
      </x:c>
      <x:c r="C13" s="16" t="n">
        <x:v>0</x:v>
      </x:c>
      <x:c r="D13" s="16" t="n">
        <x:v>0</x:v>
      </x:c>
      <x:c r="E13" s="16" t="n">
        <x:v>0</x:v>
      </x:c>
      <x:c r="F13" s="16" t="n">
        <x:v>0</x:v>
      </x:c>
      <x:c r="G13" s="16" t="n">
        <x:v>0</x:v>
      </x:c>
      <x:c r="H13" s="16" t="n">
        <x:f>SUM(C13:G13)</x:f>
        <x:v>0</x:v>
      </x:c>
      <x:c r="I13" s="35" t="n">
        <x:f>H13/60</x:f>
        <x:v>0</x:v>
      </x:c>
      <x:c r="J13" s="16" t="str">
        <x:f>IF(I13&gt;=2,"Yes","No")</x:f>
        <x:v>No</x:v>
      </x:c>
    </x:row>
    <x:row r="14">
      <x:c r="A14" s="14" t="n">
        <x:v>46285</x:v>
      </x:c>
      <x:c r="B14" s="16" t="str">
        <x:f>TEXT(A14,"ddd")</x:f>
        <x:v>Sun</x:v>
      </x:c>
      <x:c r="C14" s="16" t="n">
        <x:v>0</x:v>
      </x:c>
      <x:c r="D14" s="16" t="n">
        <x:v>0</x:v>
      </x:c>
      <x:c r="E14" s="16" t="n">
        <x:v>0</x:v>
      </x:c>
      <x:c r="F14" s="16" t="n">
        <x:v>0</x:v>
      </x:c>
      <x:c r="G14" s="16" t="n">
        <x:v>0</x:v>
      </x:c>
      <x:c r="H14" s="16" t="n">
        <x:f>SUM(C14:G14)</x:f>
        <x:v>0</x:v>
      </x:c>
      <x:c r="I14" s="35" t="n">
        <x:f>H14/60</x:f>
        <x:v>0</x:v>
      </x:c>
      <x:c r="J14" s="16" t="str">
        <x:f>IF(I14&gt;=2,"Yes","No")</x:f>
        <x:v>No</x:v>
      </x:c>
    </x:row>
    <x:row r="15">
      <x:c r="A15" s="14" t="n">
        <x:v>46286</x:v>
      </x:c>
      <x:c r="B15" s="16" t="str">
        <x:f>TEXT(A15,"ddd")</x:f>
        <x:v>Mon</x:v>
      </x:c>
      <x:c r="C15" s="16" t="n">
        <x:v>0</x:v>
      </x:c>
      <x:c r="D15" s="16" t="n">
        <x:v>0</x:v>
      </x:c>
      <x:c r="E15" s="16" t="n">
        <x:v>0</x:v>
      </x:c>
      <x:c r="F15" s="16" t="n">
        <x:v>0</x:v>
      </x:c>
      <x:c r="G15" s="16" t="n">
        <x:v>0</x:v>
      </x:c>
      <x:c r="H15" s="16" t="n">
        <x:f>SUM(C15:G15)</x:f>
        <x:v>0</x:v>
      </x:c>
      <x:c r="I15" s="35" t="n">
        <x:f>H15/60</x:f>
        <x:v>0</x:v>
      </x:c>
      <x:c r="J15" s="16" t="str">
        <x:f>IF(I15&gt;=2,"Yes","No")</x:f>
        <x:v>No</x:v>
      </x:c>
    </x:row>
    <x:row r="16">
      <x:c r="A16" s="14" t="n">
        <x:v>46287</x:v>
      </x:c>
      <x:c r="B16" s="16" t="str">
        <x:f>TEXT(A16,"ddd")</x:f>
        <x:v>Tue</x:v>
      </x:c>
      <x:c r="C16" s="16" t="n">
        <x:v>0</x:v>
      </x:c>
      <x:c r="D16" s="16" t="n">
        <x:v>0</x:v>
      </x:c>
      <x:c r="E16" s="16" t="n">
        <x:v>0</x:v>
      </x:c>
      <x:c r="F16" s="16" t="n">
        <x:v>0</x:v>
      </x:c>
      <x:c r="G16" s="16" t="n">
        <x:v>0</x:v>
      </x:c>
      <x:c r="H16" s="16" t="n">
        <x:f>SUM(C16:G16)</x:f>
        <x:v>0</x:v>
      </x:c>
      <x:c r="I16" s="35" t="n">
        <x:f>H16/60</x:f>
        <x:v>0</x:v>
      </x:c>
      <x:c r="J16" s="16" t="str">
        <x:f>IF(I16&gt;=2,"Yes","No")</x:f>
        <x:v>No</x:v>
      </x:c>
    </x:row>
    <x:row r="17">
      <x:c r="A17" s="14" t="n">
        <x:v>46288</x:v>
      </x:c>
      <x:c r="B17" s="16" t="str">
        <x:f>TEXT(A17,"ddd")</x:f>
        <x:v>Wed</x:v>
      </x:c>
      <x:c r="C17" s="16" t="n">
        <x:v>0</x:v>
      </x:c>
      <x:c r="D17" s="16" t="n">
        <x:v>0</x:v>
      </x:c>
      <x:c r="E17" s="16" t="n">
        <x:v>0</x:v>
      </x:c>
      <x:c r="F17" s="16" t="n">
        <x:v>0</x:v>
      </x:c>
      <x:c r="G17" s="16" t="n">
        <x:v>0</x:v>
      </x:c>
      <x:c r="H17" s="16" t="n">
        <x:f>SUM(C17:G17)</x:f>
        <x:v>0</x:v>
      </x:c>
      <x:c r="I17" s="35" t="n">
        <x:f>H17/60</x:f>
        <x:v>0</x:v>
      </x:c>
      <x:c r="J17" s="16" t="str">
        <x:f>IF(I17&gt;=2,"Yes","No")</x:f>
        <x:v>No</x:v>
      </x:c>
    </x:row>
    <x:row r="18">
      <x:c r="A18" s="14" t="n">
        <x:v>46289</x:v>
      </x:c>
      <x:c r="B18" s="16" t="str">
        <x:f>TEXT(A18,"ddd")</x:f>
        <x:v>Thu</x:v>
      </x:c>
      <x:c r="C18" s="16" t="n">
        <x:v>0</x:v>
      </x:c>
      <x:c r="D18" s="16" t="n">
        <x:v>0</x:v>
      </x:c>
      <x:c r="E18" s="16" t="n">
        <x:v>0</x:v>
      </x:c>
      <x:c r="F18" s="16" t="n">
        <x:v>0</x:v>
      </x:c>
      <x:c r="G18" s="16" t="n">
        <x:v>0</x:v>
      </x:c>
      <x:c r="H18" s="16" t="n">
        <x:f>SUM(C18:G18)</x:f>
        <x:v>0</x:v>
      </x:c>
      <x:c r="I18" s="35" t="n">
        <x:f>H18/60</x:f>
        <x:v>0</x:v>
      </x:c>
      <x:c r="J18" s="16" t="str">
        <x:f>IF(I18&gt;=2,"Yes","No")</x:f>
        <x:v>No</x:v>
      </x:c>
    </x:row>
    <x:row r="19">
      <x:c r="A19" s="14" t="n">
        <x:v>46290</x:v>
      </x:c>
      <x:c r="B19" s="16" t="str">
        <x:f>TEXT(A19,"ddd")</x:f>
        <x:v>Fri</x:v>
      </x:c>
      <x:c r="C19" s="16" t="n">
        <x:v>0</x:v>
      </x:c>
      <x:c r="D19" s="16" t="n">
        <x:v>0</x:v>
      </x:c>
      <x:c r="E19" s="16" t="n">
        <x:v>0</x:v>
      </x:c>
      <x:c r="F19" s="16" t="n">
        <x:v>0</x:v>
      </x:c>
      <x:c r="G19" s="16" t="n">
        <x:v>0</x:v>
      </x:c>
      <x:c r="H19" s="16" t="n">
        <x:f>SUM(C19:G19)</x:f>
        <x:v>0</x:v>
      </x:c>
      <x:c r="I19" s="35" t="n">
        <x:f>H19/60</x:f>
        <x:v>0</x:v>
      </x:c>
      <x:c r="J19" s="16" t="str">
        <x:f>IF(I19&gt;=2,"Yes","No")</x:f>
        <x:v>No</x:v>
      </x:c>
    </x:row>
    <x:row r="20">
      <x:c r="A20" s="14" t="n">
        <x:v>46291</x:v>
      </x:c>
      <x:c r="B20" s="16" t="str">
        <x:f>TEXT(A20,"ddd")</x:f>
        <x:v>Sat</x:v>
      </x:c>
      <x:c r="C20" s="16" t="n">
        <x:v>0</x:v>
      </x:c>
      <x:c r="D20" s="16" t="n">
        <x:v>0</x:v>
      </x:c>
      <x:c r="E20" s="16" t="n">
        <x:v>0</x:v>
      </x:c>
      <x:c r="F20" s="16" t="n">
        <x:v>0</x:v>
      </x:c>
      <x:c r="G20" s="16" t="n">
        <x:v>0</x:v>
      </x:c>
      <x:c r="H20" s="16" t="n">
        <x:f>SUM(C20:G20)</x:f>
        <x:v>0</x:v>
      </x:c>
      <x:c r="I20" s="35" t="n">
        <x:f>H20/60</x:f>
        <x:v>0</x:v>
      </x:c>
      <x:c r="J20" s="16" t="str">
        <x:f>IF(I20&gt;=2,"Yes","No")</x:f>
        <x:v>No</x:v>
      </x:c>
    </x:row>
    <x:row r="21">
      <x:c r="A21" s="14" t="n">
        <x:v>46292</x:v>
      </x:c>
      <x:c r="B21" s="16" t="str">
        <x:f>TEXT(A21,"ddd")</x:f>
        <x:v>Sun</x:v>
      </x:c>
      <x:c r="C21" s="16" t="n">
        <x:v>0</x:v>
      </x:c>
      <x:c r="D21" s="16" t="n">
        <x:v>0</x:v>
      </x:c>
      <x:c r="E21" s="16" t="n">
        <x:v>0</x:v>
      </x:c>
      <x:c r="F21" s="16" t="n">
        <x:v>0</x:v>
      </x:c>
      <x:c r="G21" s="16" t="n">
        <x:v>0</x:v>
      </x:c>
      <x:c r="H21" s="16" t="n">
        <x:f>SUM(C21:G21)</x:f>
        <x:v>0</x:v>
      </x:c>
      <x:c r="I21" s="35" t="n">
        <x:f>H21/60</x:f>
        <x:v>0</x:v>
      </x:c>
      <x:c r="J21" s="16" t="str">
        <x:f>IF(I21&gt;=2,"Yes","No")</x:f>
        <x:v>No</x:v>
      </x:c>
    </x:row>
    <x:row r="22">
      <x:c r="A22" s="14" t="n">
        <x:v>46293</x:v>
      </x:c>
      <x:c r="B22" s="16" t="str">
        <x:f>TEXT(A22,"ddd")</x:f>
        <x:v>Mon</x:v>
      </x:c>
      <x:c r="C22" s="16" t="n">
        <x:v>0</x:v>
      </x:c>
      <x:c r="D22" s="16" t="n">
        <x:v>0</x:v>
      </x:c>
      <x:c r="E22" s="16" t="n">
        <x:v>0</x:v>
      </x:c>
      <x:c r="F22" s="16" t="n">
        <x:v>0</x:v>
      </x:c>
      <x:c r="G22" s="16" t="n">
        <x:v>0</x:v>
      </x:c>
      <x:c r="H22" s="16" t="n">
        <x:f>SUM(C22:G22)</x:f>
        <x:v>0</x:v>
      </x:c>
      <x:c r="I22" s="35" t="n">
        <x:f>H22/60</x:f>
        <x:v>0</x:v>
      </x:c>
      <x:c r="J22" s="16" t="str">
        <x:f>IF(I22&gt;=2,"Yes","No")</x:f>
        <x:v>No</x:v>
      </x:c>
    </x:row>
    <x:row r="23">
      <x:c r="A23" s="14" t="n">
        <x:v>46294</x:v>
      </x:c>
      <x:c r="B23" s="16" t="str">
        <x:f>TEXT(A23,"ddd")</x:f>
        <x:v>Tue</x:v>
      </x:c>
      <x:c r="C23" s="16" t="n">
        <x:v>0</x:v>
      </x:c>
      <x:c r="D23" s="16" t="n">
        <x:v>0</x:v>
      </x:c>
      <x:c r="E23" s="16" t="n">
        <x:v>0</x:v>
      </x:c>
      <x:c r="F23" s="16" t="n">
        <x:v>0</x:v>
      </x:c>
      <x:c r="G23" s="16" t="n">
        <x:v>0</x:v>
      </x:c>
      <x:c r="H23" s="16" t="n">
        <x:f>SUM(C23:G23)</x:f>
        <x:v>0</x:v>
      </x:c>
      <x:c r="I23" s="35" t="n">
        <x:f>H23/60</x:f>
        <x:v>0</x:v>
      </x:c>
      <x:c r="J23" s="16" t="str">
        <x:f>IF(I23&gt;=2,"Yes","No")</x:f>
        <x:v>No</x:v>
      </x:c>
    </x:row>
    <x:row r="24">
      <x:c r="A24" s="14" t="n">
        <x:v>46295</x:v>
      </x:c>
      <x:c r="B24" s="16" t="str">
        <x:f>TEXT(A24,"ddd")</x:f>
        <x:v>Wed</x:v>
      </x:c>
      <x:c r="C24" s="16" t="n">
        <x:v>0</x:v>
      </x:c>
      <x:c r="D24" s="16" t="n">
        <x:v>0</x:v>
      </x:c>
      <x:c r="E24" s="16" t="n">
        <x:v>0</x:v>
      </x:c>
      <x:c r="F24" s="16" t="n">
        <x:v>0</x:v>
      </x:c>
      <x:c r="G24" s="16" t="n">
        <x:v>0</x:v>
      </x:c>
      <x:c r="H24" s="16" t="n">
        <x:f>SUM(C24:G24)</x:f>
        <x:v>0</x:v>
      </x:c>
      <x:c r="I24" s="35" t="n">
        <x:f>H24/60</x:f>
        <x:v>0</x:v>
      </x:c>
      <x:c r="J24" s="16" t="str">
        <x:f>IF(I24&gt;=2,"Yes","No")</x:f>
        <x:v>No</x:v>
      </x:c>
    </x:row>
    <x:row r="25">
      <x:c r="A25" s="14" t="n">
        <x:v>46296</x:v>
      </x:c>
      <x:c r="B25" s="16" t="str">
        <x:f>TEXT(A25,"ddd")</x:f>
        <x:v>Thu</x:v>
      </x:c>
      <x:c r="C25" s="16" t="n">
        <x:v>0</x:v>
      </x:c>
      <x:c r="D25" s="16" t="n">
        <x:v>0</x:v>
      </x:c>
      <x:c r="E25" s="16" t="n">
        <x:v>0</x:v>
      </x:c>
      <x:c r="F25" s="16" t="n">
        <x:v>0</x:v>
      </x:c>
      <x:c r="G25" s="16" t="n">
        <x:v>0</x:v>
      </x:c>
      <x:c r="H25" s="16" t="n">
        <x:f>SUM(C25:G25)</x:f>
        <x:v>0</x:v>
      </x:c>
      <x:c r="I25" s="35" t="n">
        <x:f>H25/60</x:f>
        <x:v>0</x:v>
      </x:c>
      <x:c r="J25" s="16" t="str">
        <x:f>IF(I25&gt;=2,"Yes","No")</x:f>
        <x:v>No</x:v>
      </x:c>
    </x:row>
    <x:row r="26">
      <x:c r="A26" s="14" t="n">
        <x:v>46297</x:v>
      </x:c>
      <x:c r="B26" s="16" t="str">
        <x:f>TEXT(A26,"ddd")</x:f>
        <x:v>Fri</x:v>
      </x:c>
      <x:c r="C26" s="16" t="n">
        <x:v>0</x:v>
      </x:c>
      <x:c r="D26" s="16" t="n">
        <x:v>0</x:v>
      </x:c>
      <x:c r="E26" s="16" t="n">
        <x:v>0</x:v>
      </x:c>
      <x:c r="F26" s="16" t="n">
        <x:v>0</x:v>
      </x:c>
      <x:c r="G26" s="16" t="n">
        <x:v>0</x:v>
      </x:c>
      <x:c r="H26" s="16" t="n">
        <x:f>SUM(C26:G26)</x:f>
        <x:v>0</x:v>
      </x:c>
      <x:c r="I26" s="35" t="n">
        <x:f>H26/60</x:f>
        <x:v>0</x:v>
      </x:c>
      <x:c r="J26" s="16" t="str">
        <x:f>IF(I26&gt;=2,"Yes","No")</x:f>
        <x:v>No</x:v>
      </x:c>
    </x:row>
    <x:row r="27">
      <x:c r="A27" s="14" t="n">
        <x:v>46298</x:v>
      </x:c>
      <x:c r="B27" s="16" t="str">
        <x:f>TEXT(A27,"ddd")</x:f>
        <x:v>Sat</x:v>
      </x:c>
      <x:c r="C27" s="16" t="n">
        <x:v>0</x:v>
      </x:c>
      <x:c r="D27" s="16" t="n">
        <x:v>0</x:v>
      </x:c>
      <x:c r="E27" s="16" t="n">
        <x:v>0</x:v>
      </x:c>
      <x:c r="F27" s="16" t="n">
        <x:v>0</x:v>
      </x:c>
      <x:c r="G27" s="16" t="n">
        <x:v>0</x:v>
      </x:c>
      <x:c r="H27" s="16" t="n">
        <x:f>SUM(C27:G27)</x:f>
        <x:v>0</x:v>
      </x:c>
      <x:c r="I27" s="35" t="n">
        <x:f>H27/60</x:f>
        <x:v>0</x:v>
      </x:c>
      <x:c r="J27" s="16" t="str">
        <x:f>IF(I27&gt;=2,"Yes","No")</x:f>
        <x:v>No</x:v>
      </x:c>
    </x:row>
    <x:row r="28">
      <x:c r="A28" s="14" t="n">
        <x:v>46299</x:v>
      </x:c>
      <x:c r="B28" s="16" t="str">
        <x:f>TEXT(A28,"ddd")</x:f>
        <x:v>Sun</x:v>
      </x:c>
      <x:c r="C28" s="16" t="n">
        <x:v>0</x:v>
      </x:c>
      <x:c r="D28" s="16" t="n">
        <x:v>0</x:v>
      </x:c>
      <x:c r="E28" s="16" t="n">
        <x:v>0</x:v>
      </x:c>
      <x:c r="F28" s="16" t="n">
        <x:v>0</x:v>
      </x:c>
      <x:c r="G28" s="16" t="n">
        <x:v>0</x:v>
      </x:c>
      <x:c r="H28" s="16" t="n">
        <x:f>SUM(C28:G28)</x:f>
        <x:v>0</x:v>
      </x:c>
      <x:c r="I28" s="35" t="n">
        <x:f>H28/60</x:f>
        <x:v>0</x:v>
      </x:c>
      <x:c r="J28" s="16" t="str">
        <x:f>IF(I28&gt;=2,"Yes","No")</x:f>
        <x:v>No</x:v>
      </x:c>
    </x:row>
    <x:row r="29">
      <x:c r="A29" s="14" t="n">
        <x:v>46300</x:v>
      </x:c>
      <x:c r="B29" s="16" t="str">
        <x:f>TEXT(A29,"ddd")</x:f>
        <x:v>Mon</x:v>
      </x:c>
      <x:c r="C29" s="16" t="n">
        <x:v>0</x:v>
      </x:c>
      <x:c r="D29" s="16" t="n">
        <x:v>0</x:v>
      </x:c>
      <x:c r="E29" s="16" t="n">
        <x:v>0</x:v>
      </x:c>
      <x:c r="F29" s="16" t="n">
        <x:v>0</x:v>
      </x:c>
      <x:c r="G29" s="16" t="n">
        <x:v>0</x:v>
      </x:c>
      <x:c r="H29" s="16" t="n">
        <x:f>SUM(C29:G29)</x:f>
        <x:v>0</x:v>
      </x:c>
      <x:c r="I29" s="35" t="n">
        <x:f>H29/60</x:f>
        <x:v>0</x:v>
      </x:c>
      <x:c r="J29" s="16" t="str">
        <x:f>IF(I29&gt;=2,"Yes","No")</x:f>
        <x:v>No</x:v>
      </x:c>
    </x:row>
    <x:row r="30">
      <x:c r="A30" s="14" t="n">
        <x:v>46301</x:v>
      </x:c>
      <x:c r="B30" s="16" t="str">
        <x:f>TEXT(A30,"ddd")</x:f>
        <x:v>Tue</x:v>
      </x:c>
      <x:c r="C30" s="16" t="n">
        <x:v>0</x:v>
      </x:c>
      <x:c r="D30" s="16" t="n">
        <x:v>0</x:v>
      </x:c>
      <x:c r="E30" s="16" t="n">
        <x:v>0</x:v>
      </x:c>
      <x:c r="F30" s="16" t="n">
        <x:v>0</x:v>
      </x:c>
      <x:c r="G30" s="16" t="n">
        <x:v>0</x:v>
      </x:c>
      <x:c r="H30" s="16" t="n">
        <x:f>SUM(C30:G30)</x:f>
        <x:v>0</x:v>
      </x:c>
      <x:c r="I30" s="35" t="n">
        <x:f>H30/60</x:f>
        <x:v>0</x:v>
      </x:c>
      <x:c r="J30" s="16" t="str">
        <x:f>IF(I30&gt;=2,"Yes","No")</x:f>
        <x:v>No</x:v>
      </x:c>
    </x:row>
    <x:row r="31">
      <x:c r="A31" s="14" t="n">
        <x:v>46302</x:v>
      </x:c>
      <x:c r="B31" s="16" t="str">
        <x:f>TEXT(A31,"ddd")</x:f>
        <x:v>Wed</x:v>
      </x:c>
      <x:c r="C31" s="16" t="n">
        <x:v>0</x:v>
      </x:c>
      <x:c r="D31" s="16" t="n">
        <x:v>0</x:v>
      </x:c>
      <x:c r="E31" s="16" t="n">
        <x:v>0</x:v>
      </x:c>
      <x:c r="F31" s="16" t="n">
        <x:v>0</x:v>
      </x:c>
      <x:c r="G31" s="16" t="n">
        <x:v>0</x:v>
      </x:c>
      <x:c r="H31" s="16" t="n">
        <x:f>SUM(C31:G31)</x:f>
        <x:v>0</x:v>
      </x:c>
      <x:c r="I31" s="35" t="n">
        <x:f>H31/60</x:f>
        <x:v>0</x:v>
      </x:c>
      <x:c r="J31" s="16" t="str">
        <x:f>IF(I31&gt;=2,"Yes","No")</x:f>
        <x:v>No</x:v>
      </x:c>
    </x:row>
    <x:row r="32">
      <x:c r="A32" s="14" t="n">
        <x:v>46303</x:v>
      </x:c>
      <x:c r="B32" s="16" t="str">
        <x:f>TEXT(A32,"ddd")</x:f>
        <x:v>Thu</x:v>
      </x:c>
      <x:c r="C32" s="16" t="n">
        <x:v>0</x:v>
      </x:c>
      <x:c r="D32" s="16" t="n">
        <x:v>0</x:v>
      </x:c>
      <x:c r="E32" s="16" t="n">
        <x:v>0</x:v>
      </x:c>
      <x:c r="F32" s="16" t="n">
        <x:v>0</x:v>
      </x:c>
      <x:c r="G32" s="16" t="n">
        <x:v>0</x:v>
      </x:c>
      <x:c r="H32" s="16" t="n">
        <x:f>SUM(C32:G32)</x:f>
        <x:v>0</x:v>
      </x:c>
      <x:c r="I32" s="35" t="n">
        <x:f>H32/60</x:f>
        <x:v>0</x:v>
      </x:c>
      <x:c r="J32" s="16" t="str">
        <x:f>IF(I32&gt;=2,"Yes","No")</x:f>
        <x:v>No</x:v>
      </x:c>
    </x:row>
    <x:row r="33">
      <x:c r="A33" s="14" t="n">
        <x:v>46304</x:v>
      </x:c>
      <x:c r="B33" s="16" t="str">
        <x:f>TEXT(A33,"ddd")</x:f>
        <x:v>Fri</x:v>
      </x:c>
      <x:c r="C33" s="16" t="n">
        <x:v>0</x:v>
      </x:c>
      <x:c r="D33" s="16" t="n">
        <x:v>0</x:v>
      </x:c>
      <x:c r="E33" s="16" t="n">
        <x:v>0</x:v>
      </x:c>
      <x:c r="F33" s="16" t="n">
        <x:v>0</x:v>
      </x:c>
      <x:c r="G33" s="16" t="n">
        <x:v>0</x:v>
      </x:c>
      <x:c r="H33" s="16" t="n">
        <x:f>SUM(C33:G33)</x:f>
        <x:v>0</x:v>
      </x:c>
      <x:c r="I33" s="35" t="n">
        <x:f>H33/60</x:f>
        <x:v>0</x:v>
      </x:c>
      <x:c r="J33" s="16" t="str">
        <x:f>IF(I33&gt;=2,"Yes","No")</x:f>
        <x:v>No</x:v>
      </x:c>
    </x:row>
    <x:row r="34">
      <x:c r="A34" s="14" t="n">
        <x:v>46305</x:v>
      </x:c>
      <x:c r="B34" s="16" t="str">
        <x:f>TEXT(A34,"ddd")</x:f>
        <x:v>Sat</x:v>
      </x:c>
      <x:c r="C34" s="16" t="n">
        <x:v>0</x:v>
      </x:c>
      <x:c r="D34" s="16" t="n">
        <x:v>0</x:v>
      </x:c>
      <x:c r="E34" s="16" t="n">
        <x:v>0</x:v>
      </x:c>
      <x:c r="F34" s="16" t="n">
        <x:v>0</x:v>
      </x:c>
      <x:c r="G34" s="16" t="n">
        <x:v>0</x:v>
      </x:c>
      <x:c r="H34" s="16" t="n">
        <x:f>SUM(C34:G34)</x:f>
        <x:v>0</x:v>
      </x:c>
      <x:c r="I34" s="35" t="n">
        <x:f>H34/60</x:f>
        <x:v>0</x:v>
      </x:c>
      <x:c r="J34" s="16" t="str">
        <x:f>IF(I34&gt;=2,"Yes","No")</x:f>
        <x:v>No</x:v>
      </x:c>
    </x:row>
    <x:row r="35">
      <x:c r="A35" s="14" t="n">
        <x:v>46306</x:v>
      </x:c>
      <x:c r="B35" s="16" t="str">
        <x:f>TEXT(A35,"ddd")</x:f>
        <x:v>Sun</x:v>
      </x:c>
      <x:c r="C35" s="16" t="n">
        <x:v>0</x:v>
      </x:c>
      <x:c r="D35" s="16" t="n">
        <x:v>0</x:v>
      </x:c>
      <x:c r="E35" s="16" t="n">
        <x:v>0</x:v>
      </x:c>
      <x:c r="F35" s="16" t="n">
        <x:v>0</x:v>
      </x:c>
      <x:c r="G35" s="16" t="n">
        <x:v>0</x:v>
      </x:c>
      <x:c r="H35" s="16" t="n">
        <x:f>SUM(C35:G35)</x:f>
        <x:v>0</x:v>
      </x:c>
      <x:c r="I35" s="35" t="n">
        <x:f>H35/60</x:f>
        <x:v>0</x:v>
      </x:c>
      <x:c r="J35" s="16" t="str">
        <x:f>IF(I35&gt;=2,"Yes","No")</x:f>
        <x:v>No</x:v>
      </x:c>
    </x:row>
    <x:row r="36">
      <x:c r="A36" s="14" t="n">
        <x:v>46307</x:v>
      </x:c>
      <x:c r="B36" s="16" t="str">
        <x:f>TEXT(A36,"ddd")</x:f>
        <x:v>Mon</x:v>
      </x:c>
      <x:c r="C36" s="16" t="n">
        <x:v>0</x:v>
      </x:c>
      <x:c r="D36" s="16" t="n">
        <x:v>0</x:v>
      </x:c>
      <x:c r="E36" s="16" t="n">
        <x:v>0</x:v>
      </x:c>
      <x:c r="F36" s="16" t="n">
        <x:v>0</x:v>
      </x:c>
      <x:c r="G36" s="16" t="n">
        <x:v>0</x:v>
      </x:c>
      <x:c r="H36" s="16" t="n">
        <x:f>SUM(C36:G36)</x:f>
        <x:v>0</x:v>
      </x:c>
      <x:c r="I36" s="35" t="n">
        <x:f>H36/60</x:f>
        <x:v>0</x:v>
      </x:c>
      <x:c r="J36" s="16" t="str">
        <x:f>IF(I36&gt;=2,"Yes","No")</x:f>
        <x:v>No</x:v>
      </x:c>
    </x:row>
    <x:row r="37">
      <x:c r="A37" s="14" t="n">
        <x:v>46308</x:v>
      </x:c>
      <x:c r="B37" s="16" t="str">
        <x:f>TEXT(A37,"ddd")</x:f>
        <x:v>Tue</x:v>
      </x:c>
      <x:c r="C37" s="16" t="n">
        <x:v>0</x:v>
      </x:c>
      <x:c r="D37" s="16" t="n">
        <x:v>0</x:v>
      </x:c>
      <x:c r="E37" s="16" t="n">
        <x:v>0</x:v>
      </x:c>
      <x:c r="F37" s="16" t="n">
        <x:v>0</x:v>
      </x:c>
      <x:c r="G37" s="16" t="n">
        <x:v>0</x:v>
      </x:c>
      <x:c r="H37" s="16" t="n">
        <x:f>SUM(C37:G37)</x:f>
        <x:v>0</x:v>
      </x:c>
      <x:c r="I37" s="35" t="n">
        <x:f>H37/60</x:f>
        <x:v>0</x:v>
      </x:c>
      <x:c r="J37" s="16" t="str">
        <x:f>IF(I37&gt;=2,"Yes","No")</x:f>
        <x:v>No</x:v>
      </x:c>
    </x:row>
    <x:row r="38">
      <x:c r="A38" s="14" t="n">
        <x:v>46309</x:v>
      </x:c>
      <x:c r="B38" s="16" t="str">
        <x:f>TEXT(A38,"ddd")</x:f>
        <x:v>Wed</x:v>
      </x:c>
      <x:c r="C38" s="16" t="n">
        <x:v>0</x:v>
      </x:c>
      <x:c r="D38" s="16" t="n">
        <x:v>0</x:v>
      </x:c>
      <x:c r="E38" s="16" t="n">
        <x:v>0</x:v>
      </x:c>
      <x:c r="F38" s="16" t="n">
        <x:v>0</x:v>
      </x:c>
      <x:c r="G38" s="16" t="n">
        <x:v>0</x:v>
      </x:c>
      <x:c r="H38" s="16" t="n">
        <x:f>SUM(C38:G38)</x:f>
        <x:v>0</x:v>
      </x:c>
      <x:c r="I38" s="35" t="n">
        <x:f>H38/60</x:f>
        <x:v>0</x:v>
      </x:c>
      <x:c r="J38" s="16" t="str">
        <x:f>IF(I38&gt;=2,"Yes","No")</x:f>
        <x:v>No</x:v>
      </x:c>
    </x:row>
    <x:row r="39">
      <x:c r="A39" s="14" t="n">
        <x:v>46310</x:v>
      </x:c>
      <x:c r="B39" s="16" t="str">
        <x:f>TEXT(A39,"ddd")</x:f>
        <x:v>Thu</x:v>
      </x:c>
      <x:c r="C39" s="16" t="n">
        <x:v>0</x:v>
      </x:c>
      <x:c r="D39" s="16" t="n">
        <x:v>0</x:v>
      </x:c>
      <x:c r="E39" s="16" t="n">
        <x:v>0</x:v>
      </x:c>
      <x:c r="F39" s="16" t="n">
        <x:v>0</x:v>
      </x:c>
      <x:c r="G39" s="16" t="n">
        <x:v>0</x:v>
      </x:c>
      <x:c r="H39" s="16" t="n">
        <x:f>SUM(C39:G39)</x:f>
        <x:v>0</x:v>
      </x:c>
      <x:c r="I39" s="35" t="n">
        <x:f>H39/60</x:f>
        <x:v>0</x:v>
      </x:c>
      <x:c r="J39" s="16" t="str">
        <x:f>IF(I39&gt;=2,"Yes","No")</x:f>
        <x:v>No</x:v>
      </x:c>
    </x:row>
    <x:row r="40">
      <x:c r="A40" s="14" t="n">
        <x:v>46311</x:v>
      </x:c>
      <x:c r="B40" s="16" t="str">
        <x:f>TEXT(A40,"ddd")</x:f>
        <x:v>Fri</x:v>
      </x:c>
      <x:c r="C40" s="16" t="n">
        <x:v>0</x:v>
      </x:c>
      <x:c r="D40" s="16" t="n">
        <x:v>0</x:v>
      </x:c>
      <x:c r="E40" s="16" t="n">
        <x:v>0</x:v>
      </x:c>
      <x:c r="F40" s="16" t="n">
        <x:v>0</x:v>
      </x:c>
      <x:c r="G40" s="16" t="n">
        <x:v>0</x:v>
      </x:c>
      <x:c r="H40" s="16" t="n">
        <x:f>SUM(C40:G40)</x:f>
        <x:v>0</x:v>
      </x:c>
      <x:c r="I40" s="35" t="n">
        <x:f>H40/60</x:f>
        <x:v>0</x:v>
      </x:c>
      <x:c r="J40" s="16" t="str">
        <x:f>IF(I40&gt;=2,"Yes","No")</x:f>
        <x:v>No</x:v>
      </x:c>
    </x:row>
    <x:row r="41">
      <x:c r="A41" s="14" t="n">
        <x:v>46312</x:v>
      </x:c>
      <x:c r="B41" s="16" t="str">
        <x:f>TEXT(A41,"ddd")</x:f>
        <x:v>Sat</x:v>
      </x:c>
      <x:c r="C41" s="16" t="n">
        <x:v>0</x:v>
      </x:c>
      <x:c r="D41" s="16" t="n">
        <x:v>0</x:v>
      </x:c>
      <x:c r="E41" s="16" t="n">
        <x:v>0</x:v>
      </x:c>
      <x:c r="F41" s="16" t="n">
        <x:v>0</x:v>
      </x:c>
      <x:c r="G41" s="16" t="n">
        <x:v>0</x:v>
      </x:c>
      <x:c r="H41" s="16" t="n">
        <x:f>SUM(C41:G41)</x:f>
        <x:v>0</x:v>
      </x:c>
      <x:c r="I41" s="35" t="n">
        <x:f>H41/60</x:f>
        <x:v>0</x:v>
      </x:c>
      <x:c r="J41" s="16" t="str">
        <x:f>IF(I41&gt;=2,"Yes","No")</x:f>
        <x:v>No</x:v>
      </x:c>
    </x:row>
    <x:row r="42">
      <x:c r="A42" s="14" t="n">
        <x:v>46313</x:v>
      </x:c>
      <x:c r="B42" s="16" t="str">
        <x:f>TEXT(A42,"ddd")</x:f>
        <x:v>Sun</x:v>
      </x:c>
      <x:c r="C42" s="16" t="n">
        <x:v>0</x:v>
      </x:c>
      <x:c r="D42" s="16" t="n">
        <x:v>0</x:v>
      </x:c>
      <x:c r="E42" s="16" t="n">
        <x:v>0</x:v>
      </x:c>
      <x:c r="F42" s="16" t="n">
        <x:v>0</x:v>
      </x:c>
      <x:c r="G42" s="16" t="n">
        <x:v>0</x:v>
      </x:c>
      <x:c r="H42" s="16" t="n">
        <x:f>SUM(C42:G42)</x:f>
        <x:v>0</x:v>
      </x:c>
      <x:c r="I42" s="35" t="n">
        <x:f>H42/60</x:f>
        <x:v>0</x:v>
      </x:c>
      <x:c r="J42" s="16" t="str">
        <x:f>IF(I42&gt;=2,"Yes","No")</x:f>
        <x:v>No</x:v>
      </x:c>
    </x:row>
    <x:row r="43">
      <x:c r="A43" s="14" t="n">
        <x:v>46314</x:v>
      </x:c>
      <x:c r="B43" s="16" t="str">
        <x:f>TEXT(A43,"ddd")</x:f>
        <x:v>Mon</x:v>
      </x:c>
      <x:c r="C43" s="16" t="n">
        <x:v>0</x:v>
      </x:c>
      <x:c r="D43" s="16" t="n">
        <x:v>0</x:v>
      </x:c>
      <x:c r="E43" s="16" t="n">
        <x:v>0</x:v>
      </x:c>
      <x:c r="F43" s="16" t="n">
        <x:v>0</x:v>
      </x:c>
      <x:c r="G43" s="16" t="n">
        <x:v>0</x:v>
      </x:c>
      <x:c r="H43" s="16" t="n">
        <x:f>SUM(C43:G43)</x:f>
        <x:v>0</x:v>
      </x:c>
      <x:c r="I43" s="35" t="n">
        <x:f>H43/60</x:f>
        <x:v>0</x:v>
      </x:c>
      <x:c r="J43" s="16" t="str">
        <x:f>IF(I43&gt;=2,"Yes","No")</x:f>
        <x:v>No</x:v>
      </x:c>
    </x:row>
    <x:row r="44">
      <x:c r="A44" s="14" t="n">
        <x:v>46315</x:v>
      </x:c>
      <x:c r="B44" s="16" t="str">
        <x:f>TEXT(A44,"ddd")</x:f>
        <x:v>Tue</x:v>
      </x:c>
      <x:c r="C44" s="16" t="n">
        <x:v>0</x:v>
      </x:c>
      <x:c r="D44" s="16" t="n">
        <x:v>0</x:v>
      </x:c>
      <x:c r="E44" s="16" t="n">
        <x:v>0</x:v>
      </x:c>
      <x:c r="F44" s="16" t="n">
        <x:v>0</x:v>
      </x:c>
      <x:c r="G44" s="16" t="n">
        <x:v>0</x:v>
      </x:c>
      <x:c r="H44" s="16" t="n">
        <x:f>SUM(C44:G44)</x:f>
        <x:v>0</x:v>
      </x:c>
      <x:c r="I44" s="35" t="n">
        <x:f>H44/60</x:f>
        <x:v>0</x:v>
      </x:c>
      <x:c r="J44" s="16" t="str">
        <x:f>IF(I44&gt;=2,"Yes","No")</x:f>
        <x:v>No</x:v>
      </x:c>
    </x:row>
    <x:row r="45">
      <x:c r="A45" s="14" t="n">
        <x:v>46316</x:v>
      </x:c>
      <x:c r="B45" s="16" t="str">
        <x:f>TEXT(A45,"ddd")</x:f>
        <x:v>Wed</x:v>
      </x:c>
      <x:c r="C45" s="16" t="n">
        <x:v>0</x:v>
      </x:c>
      <x:c r="D45" s="16" t="n">
        <x:v>0</x:v>
      </x:c>
      <x:c r="E45" s="16" t="n">
        <x:v>0</x:v>
      </x:c>
      <x:c r="F45" s="16" t="n">
        <x:v>0</x:v>
      </x:c>
      <x:c r="G45" s="16" t="n">
        <x:v>0</x:v>
      </x:c>
      <x:c r="H45" s="16" t="n">
        <x:f>SUM(C45:G45)</x:f>
        <x:v>0</x:v>
      </x:c>
      <x:c r="I45" s="35" t="n">
        <x:f>H45/60</x:f>
        <x:v>0</x:v>
      </x:c>
      <x:c r="J45" s="16" t="str">
        <x:f>IF(I45&gt;=2,"Yes","No")</x:f>
        <x:v>No</x:v>
      </x:c>
    </x:row>
    <x:row r="46">
      <x:c r="A46" s="14" t="n">
        <x:v>46317</x:v>
      </x:c>
      <x:c r="B46" s="16" t="str">
        <x:f>TEXT(A46,"ddd")</x:f>
        <x:v>Thu</x:v>
      </x:c>
      <x:c r="C46" s="16" t="n">
        <x:v>0</x:v>
      </x:c>
      <x:c r="D46" s="16" t="n">
        <x:v>0</x:v>
      </x:c>
      <x:c r="E46" s="16" t="n">
        <x:v>0</x:v>
      </x:c>
      <x:c r="F46" s="16" t="n">
        <x:v>0</x:v>
      </x:c>
      <x:c r="G46" s="16" t="n">
        <x:v>0</x:v>
      </x:c>
      <x:c r="H46" s="16" t="n">
        <x:f>SUM(C46:G46)</x:f>
        <x:v>0</x:v>
      </x:c>
      <x:c r="I46" s="35" t="n">
        <x:f>H46/60</x:f>
        <x:v>0</x:v>
      </x:c>
      <x:c r="J46" s="16" t="str">
        <x:f>IF(I46&gt;=2,"Yes","No")</x:f>
        <x:v>No</x:v>
      </x:c>
    </x:row>
    <x:row r="47">
      <x:c r="A47" s="14" t="n">
        <x:v>46318</x:v>
      </x:c>
      <x:c r="B47" s="16" t="str">
        <x:f>TEXT(A47,"ddd")</x:f>
        <x:v>Fri</x:v>
      </x:c>
      <x:c r="C47" s="16" t="n">
        <x:v>0</x:v>
      </x:c>
      <x:c r="D47" s="16" t="n">
        <x:v>0</x:v>
      </x:c>
      <x:c r="E47" s="16" t="n">
        <x:v>0</x:v>
      </x:c>
      <x:c r="F47" s="16" t="n">
        <x:v>0</x:v>
      </x:c>
      <x:c r="G47" s="16" t="n">
        <x:v>0</x:v>
      </x:c>
      <x:c r="H47" s="16" t="n">
        <x:f>SUM(C47:G47)</x:f>
        <x:v>0</x:v>
      </x:c>
      <x:c r="I47" s="35" t="n">
        <x:f>H47/60</x:f>
        <x:v>0</x:v>
      </x:c>
      <x:c r="J47" s="16" t="str">
        <x:f>IF(I47&gt;=2,"Yes","No")</x:f>
        <x:v>No</x:v>
      </x:c>
    </x:row>
    <x:row r="48">
      <x:c r="A48" s="14" t="n">
        <x:v>46319</x:v>
      </x:c>
      <x:c r="B48" s="16" t="str">
        <x:f>TEXT(A48,"ddd")</x:f>
        <x:v>Sat</x:v>
      </x:c>
      <x:c r="C48" s="16" t="n">
        <x:v>0</x:v>
      </x:c>
      <x:c r="D48" s="16" t="n">
        <x:v>0</x:v>
      </x:c>
      <x:c r="E48" s="16" t="n">
        <x:v>0</x:v>
      </x:c>
      <x:c r="F48" s="16" t="n">
        <x:v>0</x:v>
      </x:c>
      <x:c r="G48" s="16" t="n">
        <x:v>0</x:v>
      </x:c>
      <x:c r="H48" s="16" t="n">
        <x:f>SUM(C48:G48)</x:f>
        <x:v>0</x:v>
      </x:c>
      <x:c r="I48" s="35" t="n">
        <x:f>H48/60</x:f>
        <x:v>0</x:v>
      </x:c>
      <x:c r="J48" s="16" t="str">
        <x:f>IF(I48&gt;=2,"Yes","No")</x:f>
        <x:v>No</x:v>
      </x:c>
    </x:row>
    <x:row r="49">
      <x:c r="A49" s="14" t="n">
        <x:v>46320</x:v>
      </x:c>
      <x:c r="B49" s="16" t="str">
        <x:f>TEXT(A49,"ddd")</x:f>
        <x:v>Sun</x:v>
      </x:c>
      <x:c r="C49" s="16" t="n">
        <x:v>0</x:v>
      </x:c>
      <x:c r="D49" s="16" t="n">
        <x:v>0</x:v>
      </x:c>
      <x:c r="E49" s="16" t="n">
        <x:v>0</x:v>
      </x:c>
      <x:c r="F49" s="16" t="n">
        <x:v>0</x:v>
      </x:c>
      <x:c r="G49" s="16" t="n">
        <x:v>0</x:v>
      </x:c>
      <x:c r="H49" s="16" t="n">
        <x:f>SUM(C49:G49)</x:f>
        <x:v>0</x:v>
      </x:c>
      <x:c r="I49" s="35" t="n">
        <x:f>H49/60</x:f>
        <x:v>0</x:v>
      </x:c>
      <x:c r="J49" s="16" t="str">
        <x:f>IF(I49&gt;=2,"Yes","No")</x:f>
        <x:v>No</x:v>
      </x:c>
    </x:row>
    <x:row r="50">
      <x:c r="A50" s="14" t="n">
        <x:v>46321</x:v>
      </x:c>
      <x:c r="B50" s="16" t="str">
        <x:f>TEXT(A50,"ddd")</x:f>
        <x:v>Mon</x:v>
      </x:c>
      <x:c r="C50" s="16" t="n">
        <x:v>0</x:v>
      </x:c>
      <x:c r="D50" s="16" t="n">
        <x:v>0</x:v>
      </x:c>
      <x:c r="E50" s="16" t="n">
        <x:v>0</x:v>
      </x:c>
      <x:c r="F50" s="16" t="n">
        <x:v>0</x:v>
      </x:c>
      <x:c r="G50" s="16" t="n">
        <x:v>0</x:v>
      </x:c>
      <x:c r="H50" s="16" t="n">
        <x:f>SUM(C50:G50)</x:f>
        <x:v>0</x:v>
      </x:c>
      <x:c r="I50" s="35" t="n">
        <x:f>H50/60</x:f>
        <x:v>0</x:v>
      </x:c>
      <x:c r="J50" s="16" t="str">
        <x:f>IF(I50&gt;=2,"Yes","No")</x:f>
        <x:v>No</x:v>
      </x:c>
    </x:row>
    <x:row r="51">
      <x:c r="A51" s="14" t="n">
        <x:v>46322</x:v>
      </x:c>
      <x:c r="B51" s="16" t="str">
        <x:f>TEXT(A51,"ddd")</x:f>
        <x:v>Tue</x:v>
      </x:c>
      <x:c r="C51" s="16" t="n">
        <x:v>0</x:v>
      </x:c>
      <x:c r="D51" s="16" t="n">
        <x:v>0</x:v>
      </x:c>
      <x:c r="E51" s="16" t="n">
        <x:v>0</x:v>
      </x:c>
      <x:c r="F51" s="16" t="n">
        <x:v>0</x:v>
      </x:c>
      <x:c r="G51" s="16" t="n">
        <x:v>0</x:v>
      </x:c>
      <x:c r="H51" s="16" t="n">
        <x:f>SUM(C51:G51)</x:f>
        <x:v>0</x:v>
      </x:c>
      <x:c r="I51" s="35" t="n">
        <x:f>H51/60</x:f>
        <x:v>0</x:v>
      </x:c>
      <x:c r="J51" s="16" t="str">
        <x:f>IF(I51&gt;=2,"Yes","No")</x:f>
        <x:v>No</x:v>
      </x:c>
    </x:row>
    <x:row r="52">
      <x:c r="A52" s="14" t="n">
        <x:v>46323</x:v>
      </x:c>
      <x:c r="B52" s="16" t="str">
        <x:f>TEXT(A52,"ddd")</x:f>
        <x:v>Wed</x:v>
      </x:c>
      <x:c r="C52" s="16" t="n">
        <x:v>0</x:v>
      </x:c>
      <x:c r="D52" s="16" t="n">
        <x:v>0</x:v>
      </x:c>
      <x:c r="E52" s="16" t="n">
        <x:v>0</x:v>
      </x:c>
      <x:c r="F52" s="16" t="n">
        <x:v>0</x:v>
      </x:c>
      <x:c r="G52" s="16" t="n">
        <x:v>0</x:v>
      </x:c>
      <x:c r="H52" s="16" t="n">
        <x:f>SUM(C52:G52)</x:f>
        <x:v>0</x:v>
      </x:c>
      <x:c r="I52" s="35" t="n">
        <x:f>H52/60</x:f>
        <x:v>0</x:v>
      </x:c>
      <x:c r="J52" s="16" t="str">
        <x:f>IF(I52&gt;=2,"Yes","No")</x:f>
        <x:v>No</x:v>
      </x:c>
    </x:row>
    <x:row r="53">
      <x:c r="A53" s="14" t="n">
        <x:v>46324</x:v>
      </x:c>
      <x:c r="B53" s="16" t="str">
        <x:f>TEXT(A53,"ddd")</x:f>
        <x:v>Thu</x:v>
      </x:c>
      <x:c r="C53" s="16" t="n">
        <x:v>0</x:v>
      </x:c>
      <x:c r="D53" s="16" t="n">
        <x:v>0</x:v>
      </x:c>
      <x:c r="E53" s="16" t="n">
        <x:v>0</x:v>
      </x:c>
      <x:c r="F53" s="16" t="n">
        <x:v>0</x:v>
      </x:c>
      <x:c r="G53" s="16" t="n">
        <x:v>0</x:v>
      </x:c>
      <x:c r="H53" s="16" t="n">
        <x:f>SUM(C53:G53)</x:f>
        <x:v>0</x:v>
      </x:c>
      <x:c r="I53" s="35" t="n">
        <x:f>H53/60</x:f>
        <x:v>0</x:v>
      </x:c>
      <x:c r="J53" s="16" t="str">
        <x:f>IF(I53&gt;=2,"Yes","No")</x:f>
        <x:v>No</x:v>
      </x:c>
    </x:row>
    <x:row r="54">
      <x:c r="A54" s="14" t="n">
        <x:v>46325</x:v>
      </x:c>
      <x:c r="B54" s="16" t="str">
        <x:f>TEXT(A54,"ddd")</x:f>
        <x:v>Fri</x:v>
      </x:c>
      <x:c r="C54" s="16" t="n">
        <x:v>0</x:v>
      </x:c>
      <x:c r="D54" s="16" t="n">
        <x:v>0</x:v>
      </x:c>
      <x:c r="E54" s="16" t="n">
        <x:v>0</x:v>
      </x:c>
      <x:c r="F54" s="16" t="n">
        <x:v>0</x:v>
      </x:c>
      <x:c r="G54" s="16" t="n">
        <x:v>0</x:v>
      </x:c>
      <x:c r="H54" s="16" t="n">
        <x:f>SUM(C54:G54)</x:f>
        <x:v>0</x:v>
      </x:c>
      <x:c r="I54" s="35" t="n">
        <x:f>H54/60</x:f>
        <x:v>0</x:v>
      </x:c>
      <x:c r="J54" s="16" t="str">
        <x:f>IF(I54&gt;=2,"Yes","No")</x:f>
        <x:v>No</x:v>
      </x:c>
    </x:row>
    <x:row r="55">
      <x:c r="A55" s="14" t="n">
        <x:v>46326</x:v>
      </x:c>
      <x:c r="B55" s="16" t="str">
        <x:f>TEXT(A55,"ddd")</x:f>
        <x:v>Sat</x:v>
      </x:c>
      <x:c r="C55" s="16" t="n">
        <x:v>0</x:v>
      </x:c>
      <x:c r="D55" s="16" t="n">
        <x:v>0</x:v>
      </x:c>
      <x:c r="E55" s="16" t="n">
        <x:v>0</x:v>
      </x:c>
      <x:c r="F55" s="16" t="n">
        <x:v>0</x:v>
      </x:c>
      <x:c r="G55" s="16" t="n">
        <x:v>0</x:v>
      </x:c>
      <x:c r="H55" s="16" t="n">
        <x:f>SUM(C55:G55)</x:f>
        <x:v>0</x:v>
      </x:c>
      <x:c r="I55" s="35" t="n">
        <x:f>H55/60</x:f>
        <x:v>0</x:v>
      </x:c>
      <x:c r="J55" s="16" t="str">
        <x:f>IF(I55&gt;=2,"Yes","No")</x:f>
        <x:v>No</x:v>
      </x:c>
    </x:row>
    <x:row r="56">
      <x:c r="A56" s="14" t="n">
        <x:v>46327</x:v>
      </x:c>
      <x:c r="B56" s="16" t="str">
        <x:f>TEXT(A56,"ddd")</x:f>
        <x:v>Sun</x:v>
      </x:c>
      <x:c r="C56" s="16" t="n">
        <x:v>0</x:v>
      </x:c>
      <x:c r="D56" s="16" t="n">
        <x:v>0</x:v>
      </x:c>
      <x:c r="E56" s="16" t="n">
        <x:v>0</x:v>
      </x:c>
      <x:c r="F56" s="16" t="n">
        <x:v>0</x:v>
      </x:c>
      <x:c r="G56" s="16" t="n">
        <x:v>0</x:v>
      </x:c>
      <x:c r="H56" s="16" t="n">
        <x:f>SUM(C56:G56)</x:f>
        <x:v>0</x:v>
      </x:c>
      <x:c r="I56" s="35" t="n">
        <x:f>H56/60</x:f>
        <x:v>0</x:v>
      </x:c>
      <x:c r="J56" s="16" t="str">
        <x:f>IF(I56&gt;=2,"Yes","No")</x:f>
        <x:v>No</x:v>
      </x:c>
    </x:row>
    <x:row r="57">
      <x:c r="A57" s="14" t="n">
        <x:v>46328</x:v>
      </x:c>
      <x:c r="B57" s="16" t="str">
        <x:f>TEXT(A57,"ddd")</x:f>
        <x:v>Mon</x:v>
      </x:c>
      <x:c r="C57" s="16" t="n">
        <x:v>0</x:v>
      </x:c>
      <x:c r="D57" s="16" t="n">
        <x:v>0</x:v>
      </x:c>
      <x:c r="E57" s="16" t="n">
        <x:v>0</x:v>
      </x:c>
      <x:c r="F57" s="16" t="n">
        <x:v>0</x:v>
      </x:c>
      <x:c r="G57" s="16" t="n">
        <x:v>0</x:v>
      </x:c>
      <x:c r="H57" s="16" t="n">
        <x:f>SUM(C57:G57)</x:f>
        <x:v>0</x:v>
      </x:c>
      <x:c r="I57" s="35" t="n">
        <x:f>H57/60</x:f>
        <x:v>0</x:v>
      </x:c>
      <x:c r="J57" s="16" t="str">
        <x:f>IF(I57&gt;=2,"Yes","No")</x:f>
        <x:v>No</x:v>
      </x:c>
    </x:row>
    <x:row r="58">
      <x:c r="A58" s="14" t="n">
        <x:v>46329</x:v>
      </x:c>
      <x:c r="B58" s="16" t="str">
        <x:f>TEXT(A58,"ddd")</x:f>
        <x:v>Tue</x:v>
      </x:c>
      <x:c r="C58" s="16" t="n">
        <x:v>0</x:v>
      </x:c>
      <x:c r="D58" s="16" t="n">
        <x:v>0</x:v>
      </x:c>
      <x:c r="E58" s="16" t="n">
        <x:v>0</x:v>
      </x:c>
      <x:c r="F58" s="16" t="n">
        <x:v>0</x:v>
      </x:c>
      <x:c r="G58" s="16" t="n">
        <x:v>0</x:v>
      </x:c>
      <x:c r="H58" s="16" t="n">
        <x:f>SUM(C58:G58)</x:f>
        <x:v>0</x:v>
      </x:c>
      <x:c r="I58" s="35" t="n">
        <x:f>H58/60</x:f>
        <x:v>0</x:v>
      </x:c>
      <x:c r="J58" s="16" t="str">
        <x:f>IF(I58&gt;=2,"Yes","No")</x:f>
        <x:v>No</x:v>
      </x:c>
    </x:row>
    <x:row r="59">
      <x:c r="A59" s="14" t="n">
        <x:v>46330</x:v>
      </x:c>
      <x:c r="B59" s="16" t="str">
        <x:f>TEXT(A59,"ddd")</x:f>
        <x:v>Wed</x:v>
      </x:c>
      <x:c r="C59" s="16" t="n">
        <x:v>0</x:v>
      </x:c>
      <x:c r="D59" s="16" t="n">
        <x:v>0</x:v>
      </x:c>
      <x:c r="E59" s="16" t="n">
        <x:v>0</x:v>
      </x:c>
      <x:c r="F59" s="16" t="n">
        <x:v>0</x:v>
      </x:c>
      <x:c r="G59" s="16" t="n">
        <x:v>0</x:v>
      </x:c>
      <x:c r="H59" s="16" t="n">
        <x:f>SUM(C59:G59)</x:f>
        <x:v>0</x:v>
      </x:c>
      <x:c r="I59" s="35" t="n">
        <x:f>H59/60</x:f>
        <x:v>0</x:v>
      </x:c>
      <x:c r="J59" s="16" t="str">
        <x:f>IF(I59&gt;=2,"Yes","No")</x:f>
        <x:v>No</x:v>
      </x:c>
    </x:row>
    <x:row r="60">
      <x:c r="A60" s="14" t="n">
        <x:v>46331</x:v>
      </x:c>
      <x:c r="B60" s="16" t="str">
        <x:f>TEXT(A60,"ddd")</x:f>
        <x:v>Thu</x:v>
      </x:c>
      <x:c r="C60" s="16" t="n">
        <x:v>0</x:v>
      </x:c>
      <x:c r="D60" s="16" t="n">
        <x:v>0</x:v>
      </x:c>
      <x:c r="E60" s="16" t="n">
        <x:v>0</x:v>
      </x:c>
      <x:c r="F60" s="16" t="n">
        <x:v>0</x:v>
      </x:c>
      <x:c r="G60" s="16" t="n">
        <x:v>0</x:v>
      </x:c>
      <x:c r="H60" s="16" t="n">
        <x:f>SUM(C60:G60)</x:f>
        <x:v>0</x:v>
      </x:c>
      <x:c r="I60" s="35" t="n">
        <x:f>H60/60</x:f>
        <x:v>0</x:v>
      </x:c>
      <x:c r="J60" s="16" t="str">
        <x:f>IF(I60&gt;=2,"Yes","No")</x:f>
        <x:v>No</x:v>
      </x:c>
    </x:row>
    <x:row r="61">
      <x:c r="A61" s="14" t="n">
        <x:v>46332</x:v>
      </x:c>
      <x:c r="B61" s="16" t="str">
        <x:f>TEXT(A61,"ddd")</x:f>
        <x:v>Fri</x:v>
      </x:c>
      <x:c r="C61" s="16" t="n">
        <x:v>0</x:v>
      </x:c>
      <x:c r="D61" s="16" t="n">
        <x:v>0</x:v>
      </x:c>
      <x:c r="E61" s="16" t="n">
        <x:v>0</x:v>
      </x:c>
      <x:c r="F61" s="16" t="n">
        <x:v>0</x:v>
      </x:c>
      <x:c r="G61" s="16" t="n">
        <x:v>0</x:v>
      </x:c>
      <x:c r="H61" s="16" t="n">
        <x:f>SUM(C61:G61)</x:f>
        <x:v>0</x:v>
      </x:c>
      <x:c r="I61" s="35" t="n">
        <x:f>H61/60</x:f>
        <x:v>0</x:v>
      </x:c>
      <x:c r="J61" s="16" t="str">
        <x:f>IF(I61&gt;=2,"Yes","No")</x:f>
        <x:v>No</x:v>
      </x:c>
    </x:row>
    <x:row r="62">
      <x:c r="A62" s="14" t="n">
        <x:v>46333</x:v>
      </x:c>
      <x:c r="B62" s="16" t="str">
        <x:f>TEXT(A62,"ddd")</x:f>
        <x:v>Sat</x:v>
      </x:c>
      <x:c r="C62" s="16" t="n">
        <x:v>0</x:v>
      </x:c>
      <x:c r="D62" s="16" t="n">
        <x:v>0</x:v>
      </x:c>
      <x:c r="E62" s="16" t="n">
        <x:v>0</x:v>
      </x:c>
      <x:c r="F62" s="16" t="n">
        <x:v>0</x:v>
      </x:c>
      <x:c r="G62" s="16" t="n">
        <x:v>0</x:v>
      </x:c>
      <x:c r="H62" s="16" t="n">
        <x:f>SUM(C62:G62)</x:f>
        <x:v>0</x:v>
      </x:c>
      <x:c r="I62" s="35" t="n">
        <x:f>H62/60</x:f>
        <x:v>0</x:v>
      </x:c>
      <x:c r="J62" s="16" t="str">
        <x:f>IF(I62&gt;=2,"Yes","No")</x:f>
        <x:v>No</x:v>
      </x:c>
    </x:row>
    <x:row r="63">
      <x:c r="A63" s="14" t="n">
        <x:v>46334</x:v>
      </x:c>
      <x:c r="B63" s="16" t="str">
        <x:f>TEXT(A63,"ddd")</x:f>
        <x:v>Sun</x:v>
      </x:c>
      <x:c r="C63" s="16" t="n">
        <x:v>0</x:v>
      </x:c>
      <x:c r="D63" s="16" t="n">
        <x:v>0</x:v>
      </x:c>
      <x:c r="E63" s="16" t="n">
        <x:v>0</x:v>
      </x:c>
      <x:c r="F63" s="16" t="n">
        <x:v>0</x:v>
      </x:c>
      <x:c r="G63" s="16" t="n">
        <x:v>0</x:v>
      </x:c>
      <x:c r="H63" s="16" t="n">
        <x:f>SUM(C63:G63)</x:f>
        <x:v>0</x:v>
      </x:c>
      <x:c r="I63" s="35" t="n">
        <x:f>H63/60</x:f>
        <x:v>0</x:v>
      </x:c>
      <x:c r="J63" s="16" t="str">
        <x:f>IF(I63&gt;=2,"Yes","No")</x:f>
        <x:v>No</x:v>
      </x:c>
    </x:row>
    <x:row r="64">
      <x:c r="A64" s="14" t="n">
        <x:v>46335</x:v>
      </x:c>
      <x:c r="B64" s="16" t="str">
        <x:f>TEXT(A64,"ddd")</x:f>
        <x:v>Mon</x:v>
      </x:c>
      <x:c r="C64" s="16" t="n">
        <x:v>0</x:v>
      </x:c>
      <x:c r="D64" s="16" t="n">
        <x:v>0</x:v>
      </x:c>
      <x:c r="E64" s="16" t="n">
        <x:v>0</x:v>
      </x:c>
      <x:c r="F64" s="16" t="n">
        <x:v>0</x:v>
      </x:c>
      <x:c r="G64" s="16" t="n">
        <x:v>0</x:v>
      </x:c>
      <x:c r="H64" s="16" t="n">
        <x:f>SUM(C64:G64)</x:f>
        <x:v>0</x:v>
      </x:c>
      <x:c r="I64" s="35" t="n">
        <x:f>H64/60</x:f>
        <x:v>0</x:v>
      </x:c>
      <x:c r="J64" s="16" t="str">
        <x:f>IF(I64&gt;=2,"Yes","No")</x:f>
        <x:v>No</x:v>
      </x:c>
    </x:row>
    <x:row r="65">
      <x:c r="A65" s="14" t="n">
        <x:v>46336</x:v>
      </x:c>
      <x:c r="B65" s="16" t="str">
        <x:f>TEXT(A65,"ddd")</x:f>
        <x:v>Tue</x:v>
      </x:c>
      <x:c r="C65" s="16" t="n">
        <x:v>0</x:v>
      </x:c>
      <x:c r="D65" s="16" t="n">
        <x:v>0</x:v>
      </x:c>
      <x:c r="E65" s="16" t="n">
        <x:v>0</x:v>
      </x:c>
      <x:c r="F65" s="16" t="n">
        <x:v>0</x:v>
      </x:c>
      <x:c r="G65" s="16" t="n">
        <x:v>0</x:v>
      </x:c>
      <x:c r="H65" s="16" t="n">
        <x:f>SUM(C65:G65)</x:f>
        <x:v>0</x:v>
      </x:c>
      <x:c r="I65" s="35" t="n">
        <x:f>H65/60</x:f>
        <x:v>0</x:v>
      </x:c>
      <x:c r="J65" s="16" t="str">
        <x:f>IF(I65&gt;=2,"Yes","No")</x:f>
        <x:v>No</x:v>
      </x:c>
    </x:row>
    <x:row r="66">
      <x:c r="A66" s="14" t="n">
        <x:v>46337</x:v>
      </x:c>
      <x:c r="B66" s="16" t="str">
        <x:f>TEXT(A66,"ddd")</x:f>
        <x:v>Wed</x:v>
      </x:c>
      <x:c r="C66" s="16" t="n">
        <x:v>0</x:v>
      </x:c>
      <x:c r="D66" s="16" t="n">
        <x:v>0</x:v>
      </x:c>
      <x:c r="E66" s="16" t="n">
        <x:v>0</x:v>
      </x:c>
      <x:c r="F66" s="16" t="n">
        <x:v>0</x:v>
      </x:c>
      <x:c r="G66" s="16" t="n">
        <x:v>0</x:v>
      </x:c>
      <x:c r="H66" s="16" t="n">
        <x:f>SUM(C66:G66)</x:f>
        <x:v>0</x:v>
      </x:c>
      <x:c r="I66" s="35" t="n">
        <x:f>H66/60</x:f>
        <x:v>0</x:v>
      </x:c>
      <x:c r="J66" s="16" t="str">
        <x:f>IF(I66&gt;=2,"Yes","No")</x:f>
        <x:v>No</x:v>
      </x:c>
    </x:row>
    <x:row r="67">
      <x:c r="A67" s="14" t="n">
        <x:v>46338</x:v>
      </x:c>
      <x:c r="B67" s="16" t="str">
        <x:f>TEXT(A67,"ddd")</x:f>
        <x:v>Thu</x:v>
      </x:c>
      <x:c r="C67" s="16" t="n">
        <x:v>0</x:v>
      </x:c>
      <x:c r="D67" s="16" t="n">
        <x:v>0</x:v>
      </x:c>
      <x:c r="E67" s="16" t="n">
        <x:v>0</x:v>
      </x:c>
      <x:c r="F67" s="16" t="n">
        <x:v>0</x:v>
      </x:c>
      <x:c r="G67" s="16" t="n">
        <x:v>0</x:v>
      </x:c>
      <x:c r="H67" s="16" t="n">
        <x:f>SUM(C67:G67)</x:f>
        <x:v>0</x:v>
      </x:c>
      <x:c r="I67" s="35" t="n">
        <x:f>H67/60</x:f>
        <x:v>0</x:v>
      </x:c>
      <x:c r="J67" s="16" t="str">
        <x:f>IF(I67&gt;=2,"Yes","No")</x:f>
        <x:v>No</x:v>
      </x:c>
    </x:row>
    <x:row r="68">
      <x:c r="A68" s="14" t="n">
        <x:v>46339</x:v>
      </x:c>
      <x:c r="B68" s="16" t="str">
        <x:f>TEXT(A68,"ddd")</x:f>
        <x:v>Fri</x:v>
      </x:c>
      <x:c r="C68" s="16" t="n">
        <x:v>0</x:v>
      </x:c>
      <x:c r="D68" s="16" t="n">
        <x:v>0</x:v>
      </x:c>
      <x:c r="E68" s="16" t="n">
        <x:v>0</x:v>
      </x:c>
      <x:c r="F68" s="16" t="n">
        <x:v>0</x:v>
      </x:c>
      <x:c r="G68" s="16" t="n">
        <x:v>0</x:v>
      </x:c>
      <x:c r="H68" s="16" t="n">
        <x:f>SUM(C68:G68)</x:f>
        <x:v>0</x:v>
      </x:c>
      <x:c r="I68" s="35" t="n">
        <x:f>H68/60</x:f>
        <x:v>0</x:v>
      </x:c>
      <x:c r="J68" s="16" t="str">
        <x:f>IF(I68&gt;=2,"Yes","No")</x:f>
        <x:v>No</x:v>
      </x:c>
    </x:row>
    <x:row r="69">
      <x:c r="A69" s="14" t="n">
        <x:v>46340</x:v>
      </x:c>
      <x:c r="B69" s="16" t="str">
        <x:f>TEXT(A69,"ddd")</x:f>
        <x:v>Sat</x:v>
      </x:c>
      <x:c r="C69" s="16" t="n">
        <x:v>0</x:v>
      </x:c>
      <x:c r="D69" s="16" t="n">
        <x:v>0</x:v>
      </x:c>
      <x:c r="E69" s="16" t="n">
        <x:v>0</x:v>
      </x:c>
      <x:c r="F69" s="16" t="n">
        <x:v>0</x:v>
      </x:c>
      <x:c r="G69" s="16" t="n">
        <x:v>0</x:v>
      </x:c>
      <x:c r="H69" s="16" t="n">
        <x:f>SUM(C69:G69)</x:f>
        <x:v>0</x:v>
      </x:c>
      <x:c r="I69" s="35" t="n">
        <x:f>H69/60</x:f>
        <x:v>0</x:v>
      </x:c>
      <x:c r="J69" s="16" t="str">
        <x:f>IF(I69&gt;=2,"Yes","No")</x:f>
        <x:v>No</x:v>
      </x:c>
    </x:row>
    <x:row r="70">
      <x:c r="A70" s="14" t="n">
        <x:v>46341</x:v>
      </x:c>
      <x:c r="B70" s="16" t="str">
        <x:f>TEXT(A70,"ddd")</x:f>
        <x:v>Sun</x:v>
      </x:c>
      <x:c r="C70" s="16" t="n">
        <x:v>0</x:v>
      </x:c>
      <x:c r="D70" s="16" t="n">
        <x:v>0</x:v>
      </x:c>
      <x:c r="E70" s="16" t="n">
        <x:v>0</x:v>
      </x:c>
      <x:c r="F70" s="16" t="n">
        <x:v>0</x:v>
      </x:c>
      <x:c r="G70" s="16" t="n">
        <x:v>0</x:v>
      </x:c>
      <x:c r="H70" s="16" t="n">
        <x:f>SUM(C70:G70)</x:f>
        <x:v>0</x:v>
      </x:c>
      <x:c r="I70" s="35" t="n">
        <x:f>H70/60</x:f>
        <x:v>0</x:v>
      </x:c>
      <x:c r="J70" s="16" t="str">
        <x:f>IF(I70&gt;=2,"Yes","No")</x:f>
        <x:v>No</x:v>
      </x:c>
    </x:row>
    <x:row r="71">
      <x:c r="A71" s="14" t="n">
        <x:v>46342</x:v>
      </x:c>
      <x:c r="B71" s="16" t="str">
        <x:f>TEXT(A71,"ddd")</x:f>
        <x:v>Mon</x:v>
      </x:c>
      <x:c r="C71" s="16" t="n">
        <x:v>0</x:v>
      </x:c>
      <x:c r="D71" s="16" t="n">
        <x:v>0</x:v>
      </x:c>
      <x:c r="E71" s="16" t="n">
        <x:v>0</x:v>
      </x:c>
      <x:c r="F71" s="16" t="n">
        <x:v>0</x:v>
      </x:c>
      <x:c r="G71" s="16" t="n">
        <x:v>0</x:v>
      </x:c>
      <x:c r="H71" s="16" t="n">
        <x:f>SUM(C71:G71)</x:f>
        <x:v>0</x:v>
      </x:c>
      <x:c r="I71" s="35" t="n">
        <x:f>H71/60</x:f>
        <x:v>0</x:v>
      </x:c>
      <x:c r="J71" s="16" t="str">
        <x:f>IF(I71&gt;=2,"Yes","No")</x:f>
        <x:v>No</x:v>
      </x:c>
    </x:row>
    <x:row r="72">
      <x:c r="A72" s="14" t="n">
        <x:v>46343</x:v>
      </x:c>
      <x:c r="B72" s="16" t="str">
        <x:f>TEXT(A72,"ddd")</x:f>
        <x:v>Tue</x:v>
      </x:c>
      <x:c r="C72" s="16" t="n">
        <x:v>0</x:v>
      </x:c>
      <x:c r="D72" s="16" t="n">
        <x:v>0</x:v>
      </x:c>
      <x:c r="E72" s="16" t="n">
        <x:v>0</x:v>
      </x:c>
      <x:c r="F72" s="16" t="n">
        <x:v>0</x:v>
      </x:c>
      <x:c r="G72" s="16" t="n">
        <x:v>0</x:v>
      </x:c>
      <x:c r="H72" s="16" t="n">
        <x:f>SUM(C72:G72)</x:f>
        <x:v>0</x:v>
      </x:c>
      <x:c r="I72" s="35" t="n">
        <x:f>H72/60</x:f>
        <x:v>0</x:v>
      </x:c>
      <x:c r="J72" s="16" t="str">
        <x:f>IF(I72&gt;=2,"Yes","No")</x:f>
        <x:v>No</x:v>
      </x:c>
    </x:row>
    <x:row r="73">
      <x:c r="A73" s="14" t="n">
        <x:v>46344</x:v>
      </x:c>
      <x:c r="B73" s="16" t="str">
        <x:f>TEXT(A73,"ddd")</x:f>
        <x:v>Wed</x:v>
      </x:c>
      <x:c r="C73" s="16" t="n">
        <x:v>0</x:v>
      </x:c>
      <x:c r="D73" s="16" t="n">
        <x:v>0</x:v>
      </x:c>
      <x:c r="E73" s="16" t="n">
        <x:v>0</x:v>
      </x:c>
      <x:c r="F73" s="16" t="n">
        <x:v>0</x:v>
      </x:c>
      <x:c r="G73" s="16" t="n">
        <x:v>0</x:v>
      </x:c>
      <x:c r="H73" s="16" t="n">
        <x:f>SUM(C73:G73)</x:f>
        <x:v>0</x:v>
      </x:c>
      <x:c r="I73" s="35" t="n">
        <x:f>H73/60</x:f>
        <x:v>0</x:v>
      </x:c>
      <x:c r="J73" s="16" t="str">
        <x:f>IF(I73&gt;=2,"Yes","No")</x:f>
        <x:v>No</x:v>
      </x:c>
    </x:row>
    <x:row r="74">
      <x:c r="A74" s="14" t="n">
        <x:v>46345</x:v>
      </x:c>
      <x:c r="B74" s="16" t="str">
        <x:f>TEXT(A74,"ddd")</x:f>
        <x:v>Thu</x:v>
      </x:c>
      <x:c r="C74" s="16" t="n">
        <x:v>0</x:v>
      </x:c>
      <x:c r="D74" s="16" t="n">
        <x:v>0</x:v>
      </x:c>
      <x:c r="E74" s="16" t="n">
        <x:v>0</x:v>
      </x:c>
      <x:c r="F74" s="16" t="n">
        <x:v>0</x:v>
      </x:c>
      <x:c r="G74" s="16" t="n">
        <x:v>0</x:v>
      </x:c>
      <x:c r="H74" s="16" t="n">
        <x:f>SUM(C74:G74)</x:f>
        <x:v>0</x:v>
      </x:c>
      <x:c r="I74" s="35" t="n">
        <x:f>H74/60</x:f>
        <x:v>0</x:v>
      </x:c>
      <x:c r="J74" s="16" t="str">
        <x:f>IF(I74&gt;=2,"Yes","No")</x:f>
        <x:v>No</x:v>
      </x:c>
    </x:row>
    <x:row r="75">
      <x:c r="A75" s="14" t="n">
        <x:v>46346</x:v>
      </x:c>
      <x:c r="B75" s="16" t="str">
        <x:f>TEXT(A75,"ddd")</x:f>
        <x:v>Fri</x:v>
      </x:c>
      <x:c r="C75" s="16" t="n">
        <x:v>0</x:v>
      </x:c>
      <x:c r="D75" s="16" t="n">
        <x:v>0</x:v>
      </x:c>
      <x:c r="E75" s="16" t="n">
        <x:v>0</x:v>
      </x:c>
      <x:c r="F75" s="16" t="n">
        <x:v>0</x:v>
      </x:c>
      <x:c r="G75" s="16" t="n">
        <x:v>0</x:v>
      </x:c>
      <x:c r="H75" s="16" t="n">
        <x:f>SUM(C75:G75)</x:f>
        <x:v>0</x:v>
      </x:c>
      <x:c r="I75" s="35" t="n">
        <x:f>H75/60</x:f>
        <x:v>0</x:v>
      </x:c>
      <x:c r="J75" s="16" t="str">
        <x:f>IF(I75&gt;=2,"Yes","No")</x:f>
        <x:v>No</x:v>
      </x:c>
    </x:row>
    <x:row r="76">
      <x:c r="A76" s="14" t="n">
        <x:v>46347</x:v>
      </x:c>
      <x:c r="B76" s="16" t="str">
        <x:f>TEXT(A76,"ddd")</x:f>
        <x:v>Sat</x:v>
      </x:c>
      <x:c r="C76" s="16" t="n">
        <x:v>0</x:v>
      </x:c>
      <x:c r="D76" s="16" t="n">
        <x:v>0</x:v>
      </x:c>
      <x:c r="E76" s="16" t="n">
        <x:v>0</x:v>
      </x:c>
      <x:c r="F76" s="16" t="n">
        <x:v>0</x:v>
      </x:c>
      <x:c r="G76" s="16" t="n">
        <x:v>0</x:v>
      </x:c>
      <x:c r="H76" s="16" t="n">
        <x:f>SUM(C76:G76)</x:f>
        <x:v>0</x:v>
      </x:c>
      <x:c r="I76" s="35" t="n">
        <x:f>H76/60</x:f>
        <x:v>0</x:v>
      </x:c>
      <x:c r="J76" s="16" t="str">
        <x:f>IF(I76&gt;=2,"Yes","No")</x:f>
        <x:v>No</x:v>
      </x:c>
    </x:row>
    <x:row r="77">
      <x:c r="A77" s="14" t="n">
        <x:v>46348</x:v>
      </x:c>
      <x:c r="B77" s="16" t="str">
        <x:f>TEXT(A77,"ddd")</x:f>
        <x:v>Sun</x:v>
      </x:c>
      <x:c r="C77" s="16" t="n">
        <x:v>0</x:v>
      </x:c>
      <x:c r="D77" s="16" t="n">
        <x:v>0</x:v>
      </x:c>
      <x:c r="E77" s="16" t="n">
        <x:v>0</x:v>
      </x:c>
      <x:c r="F77" s="16" t="n">
        <x:v>0</x:v>
      </x:c>
      <x:c r="G77" s="16" t="n">
        <x:v>0</x:v>
      </x:c>
      <x:c r="H77" s="16" t="n">
        <x:f>SUM(C77:G77)</x:f>
        <x:v>0</x:v>
      </x:c>
      <x:c r="I77" s="35" t="n">
        <x:f>H77/60</x:f>
        <x:v>0</x:v>
      </x:c>
      <x:c r="J77" s="16" t="str">
        <x:f>IF(I77&gt;=2,"Yes","No")</x:f>
        <x:v>No</x:v>
      </x:c>
    </x:row>
    <x:row r="78">
      <x:c r="A78" s="14" t="n">
        <x:v>46349</x:v>
      </x:c>
      <x:c r="B78" s="16" t="str">
        <x:f>TEXT(A78,"ddd")</x:f>
        <x:v>Mon</x:v>
      </x:c>
      <x:c r="C78" s="16" t="n">
        <x:v>0</x:v>
      </x:c>
      <x:c r="D78" s="16" t="n">
        <x:v>0</x:v>
      </x:c>
      <x:c r="E78" s="16" t="n">
        <x:v>0</x:v>
      </x:c>
      <x:c r="F78" s="16" t="n">
        <x:v>0</x:v>
      </x:c>
      <x:c r="G78" s="16" t="n">
        <x:v>0</x:v>
      </x:c>
      <x:c r="H78" s="16" t="n">
        <x:f>SUM(C78:G78)</x:f>
        <x:v>0</x:v>
      </x:c>
      <x:c r="I78" s="35" t="n">
        <x:f>H78/60</x:f>
        <x:v>0</x:v>
      </x:c>
      <x:c r="J78" s="16" t="str">
        <x:f>IF(I78&gt;=2,"Yes","No")</x:f>
        <x:v>No</x:v>
      </x:c>
    </x:row>
    <x:row r="79">
      <x:c r="A79" s="14" t="n">
        <x:v>46350</x:v>
      </x:c>
      <x:c r="B79" s="16" t="str">
        <x:f>TEXT(A79,"ddd")</x:f>
        <x:v>Tue</x:v>
      </x:c>
      <x:c r="C79" s="16" t="n">
        <x:v>0</x:v>
      </x:c>
      <x:c r="D79" s="16" t="n">
        <x:v>0</x:v>
      </x:c>
      <x:c r="E79" s="16" t="n">
        <x:v>0</x:v>
      </x:c>
      <x:c r="F79" s="16" t="n">
        <x:v>0</x:v>
      </x:c>
      <x:c r="G79" s="16" t="n">
        <x:v>0</x:v>
      </x:c>
      <x:c r="H79" s="16" t="n">
        <x:f>SUM(C79:G79)</x:f>
        <x:v>0</x:v>
      </x:c>
      <x:c r="I79" s="35" t="n">
        <x:f>H79/60</x:f>
        <x:v>0</x:v>
      </x:c>
      <x:c r="J79" s="16" t="str">
        <x:f>IF(I79&gt;=2,"Yes","No")</x:f>
        <x:v>No</x:v>
      </x:c>
    </x:row>
    <x:row r="80">
      <x:c r="A80" s="14" t="n">
        <x:v>46351</x:v>
      </x:c>
      <x:c r="B80" s="16" t="str">
        <x:f>TEXT(A80,"ddd")</x:f>
        <x:v>Wed</x:v>
      </x:c>
      <x:c r="C80" s="16" t="n">
        <x:v>0</x:v>
      </x:c>
      <x:c r="D80" s="16" t="n">
        <x:v>0</x:v>
      </x:c>
      <x:c r="E80" s="16" t="n">
        <x:v>0</x:v>
      </x:c>
      <x:c r="F80" s="16" t="n">
        <x:v>0</x:v>
      </x:c>
      <x:c r="G80" s="16" t="n">
        <x:v>0</x:v>
      </x:c>
      <x:c r="H80" s="16" t="n">
        <x:f>SUM(C80:G80)</x:f>
        <x:v>0</x:v>
      </x:c>
      <x:c r="I80" s="35" t="n">
        <x:f>H80/60</x:f>
        <x:v>0</x:v>
      </x:c>
      <x:c r="J80" s="16" t="str">
        <x:f>IF(I80&gt;=2,"Yes","No")</x:f>
        <x:v>No</x:v>
      </x:c>
    </x:row>
    <x:row r="81">
      <x:c r="A81" s="14" t="n">
        <x:v>46352</x:v>
      </x:c>
      <x:c r="B81" s="16" t="str">
        <x:f>TEXT(A81,"ddd")</x:f>
        <x:v>Thu</x:v>
      </x:c>
      <x:c r="C81" s="16" t="n">
        <x:v>0</x:v>
      </x:c>
      <x:c r="D81" s="16" t="n">
        <x:v>0</x:v>
      </x:c>
      <x:c r="E81" s="16" t="n">
        <x:v>0</x:v>
      </x:c>
      <x:c r="F81" s="16" t="n">
        <x:v>0</x:v>
      </x:c>
      <x:c r="G81" s="16" t="n">
        <x:v>0</x:v>
      </x:c>
      <x:c r="H81" s="16" t="n">
        <x:f>SUM(C81:G81)</x:f>
        <x:v>0</x:v>
      </x:c>
      <x:c r="I81" s="35" t="n">
        <x:f>H81/60</x:f>
        <x:v>0</x:v>
      </x:c>
      <x:c r="J81" s="16" t="str">
        <x:f>IF(I81&gt;=2,"Yes","No")</x:f>
        <x:v>No</x:v>
      </x:c>
    </x:row>
    <x:row r="82">
      <x:c r="A82" s="14" t="n">
        <x:v>46353</x:v>
      </x:c>
      <x:c r="B82" s="16" t="str">
        <x:f>TEXT(A82,"ddd")</x:f>
        <x:v>Fri</x:v>
      </x:c>
      <x:c r="C82" s="16" t="n">
        <x:v>0</x:v>
      </x:c>
      <x:c r="D82" s="16" t="n">
        <x:v>0</x:v>
      </x:c>
      <x:c r="E82" s="16" t="n">
        <x:v>0</x:v>
      </x:c>
      <x:c r="F82" s="16" t="n">
        <x:v>0</x:v>
      </x:c>
      <x:c r="G82" s="16" t="n">
        <x:v>0</x:v>
      </x:c>
      <x:c r="H82" s="16" t="n">
        <x:f>SUM(C82:G82)</x:f>
        <x:v>0</x:v>
      </x:c>
      <x:c r="I82" s="35" t="n">
        <x:f>H82/60</x:f>
        <x:v>0</x:v>
      </x:c>
      <x:c r="J82" s="16" t="str">
        <x:f>IF(I82&gt;=2,"Yes","No")</x:f>
        <x:v>No</x:v>
      </x:c>
    </x:row>
    <x:row r="83">
      <x:c r="A83" s="14" t="n">
        <x:v>46354</x:v>
      </x:c>
      <x:c r="B83" s="16" t="str">
        <x:f>TEXT(A83,"ddd")</x:f>
        <x:v>Sat</x:v>
      </x:c>
      <x:c r="C83" s="16" t="n">
        <x:v>0</x:v>
      </x:c>
      <x:c r="D83" s="16" t="n">
        <x:v>0</x:v>
      </x:c>
      <x:c r="E83" s="16" t="n">
        <x:v>0</x:v>
      </x:c>
      <x:c r="F83" s="16" t="n">
        <x:v>0</x:v>
      </x:c>
      <x:c r="G83" s="16" t="n">
        <x:v>0</x:v>
      </x:c>
      <x:c r="H83" s="16" t="n">
        <x:f>SUM(C83:G83)</x:f>
        <x:v>0</x:v>
      </x:c>
      <x:c r="I83" s="35" t="n">
        <x:f>H83/60</x:f>
        <x:v>0</x:v>
      </x:c>
      <x:c r="J83" s="16" t="str">
        <x:f>IF(I83&gt;=2,"Yes","No")</x:f>
        <x:v>No</x:v>
      </x:c>
    </x:row>
    <x:row r="84">
      <x:c r="A84" s="14" t="n">
        <x:v>46355</x:v>
      </x:c>
      <x:c r="B84" s="16" t="str">
        <x:f>TEXT(A84,"ddd")</x:f>
        <x:v>Sun</x:v>
      </x:c>
      <x:c r="C84" s="16" t="n">
        <x:v>0</x:v>
      </x:c>
      <x:c r="D84" s="16" t="n">
        <x:v>0</x:v>
      </x:c>
      <x:c r="E84" s="16" t="n">
        <x:v>0</x:v>
      </x:c>
      <x:c r="F84" s="16" t="n">
        <x:v>0</x:v>
      </x:c>
      <x:c r="G84" s="16" t="n">
        <x:v>0</x:v>
      </x:c>
      <x:c r="H84" s="16" t="n">
        <x:f>SUM(C84:G84)</x:f>
        <x:v>0</x:v>
      </x:c>
      <x:c r="I84" s="35" t="n">
        <x:f>H84/60</x:f>
        <x:v>0</x:v>
      </x:c>
      <x:c r="J84" s="16" t="str">
        <x:f>IF(I84&gt;=2,"Yes","No")</x:f>
        <x:v>No</x:v>
      </x:c>
    </x:row>
    <x:row r="85">
      <x:c r="A85" s="14" t="n">
        <x:v>46356</x:v>
      </x:c>
      <x:c r="B85" s="16" t="str">
        <x:f>TEXT(A85,"ddd")</x:f>
        <x:v>Mon</x:v>
      </x:c>
      <x:c r="C85" s="16" t="n">
        <x:v>0</x:v>
      </x:c>
      <x:c r="D85" s="16" t="n">
        <x:v>0</x:v>
      </x:c>
      <x:c r="E85" s="16" t="n">
        <x:v>0</x:v>
      </x:c>
      <x:c r="F85" s="16" t="n">
        <x:v>0</x:v>
      </x:c>
      <x:c r="G85" s="16" t="n">
        <x:v>0</x:v>
      </x:c>
      <x:c r="H85" s="16" t="n">
        <x:f>SUM(C85:G85)</x:f>
        <x:v>0</x:v>
      </x:c>
      <x:c r="I85" s="35" t="n">
        <x:f>H85/60</x:f>
        <x:v>0</x:v>
      </x:c>
      <x:c r="J85" s="16" t="str">
        <x:f>IF(I85&gt;=2,"Yes","No")</x:f>
        <x:v>No</x:v>
      </x:c>
    </x:row>
    <x:row r="86">
      <x:c r="A86" s="14" t="n">
        <x:v>46357</x:v>
      </x:c>
      <x:c r="B86" s="16" t="str">
        <x:f>TEXT(A86,"ddd")</x:f>
        <x:v>Tue</x:v>
      </x:c>
      <x:c r="C86" s="16" t="n">
        <x:v>0</x:v>
      </x:c>
      <x:c r="D86" s="16" t="n">
        <x:v>0</x:v>
      </x:c>
      <x:c r="E86" s="16" t="n">
        <x:v>0</x:v>
      </x:c>
      <x:c r="F86" s="16" t="n">
        <x:v>0</x:v>
      </x:c>
      <x:c r="G86" s="16" t="n">
        <x:v>0</x:v>
      </x:c>
      <x:c r="H86" s="16" t="n">
        <x:f>SUM(C86:G86)</x:f>
        <x:v>0</x:v>
      </x:c>
      <x:c r="I86" s="35" t="n">
        <x:f>H86/60</x:f>
        <x:v>0</x:v>
      </x:c>
      <x:c r="J86" s="16" t="str">
        <x:f>IF(I86&gt;=2,"Yes","No")</x:f>
        <x:v>No</x:v>
      </x:c>
    </x:row>
    <x:row r="87">
      <x:c r="A87" s="14" t="n">
        <x:v>46358</x:v>
      </x:c>
      <x:c r="B87" s="16" t="str">
        <x:f>TEXT(A87,"ddd")</x:f>
        <x:v>Wed</x:v>
      </x:c>
      <x:c r="C87" s="16" t="n">
        <x:v>0</x:v>
      </x:c>
      <x:c r="D87" s="16" t="n">
        <x:v>0</x:v>
      </x:c>
      <x:c r="E87" s="16" t="n">
        <x:v>0</x:v>
      </x:c>
      <x:c r="F87" s="16" t="n">
        <x:v>0</x:v>
      </x:c>
      <x:c r="G87" s="16" t="n">
        <x:v>0</x:v>
      </x:c>
      <x:c r="H87" s="16" t="n">
        <x:f>SUM(C87:G87)</x:f>
        <x:v>0</x:v>
      </x:c>
      <x:c r="I87" s="35" t="n">
        <x:f>H87/60</x:f>
        <x:v>0</x:v>
      </x:c>
      <x:c r="J87" s="16" t="str">
        <x:f>IF(I87&gt;=2,"Yes","No")</x:f>
        <x:v>No</x:v>
      </x:c>
    </x:row>
    <x:row r="88">
      <x:c r="A88" s="14" t="n">
        <x:v>46359</x:v>
      </x:c>
      <x:c r="B88" s="16" t="str">
        <x:f>TEXT(A88,"ddd")</x:f>
        <x:v>Thu</x:v>
      </x:c>
      <x:c r="C88" s="16" t="n">
        <x:v>0</x:v>
      </x:c>
      <x:c r="D88" s="16" t="n">
        <x:v>0</x:v>
      </x:c>
      <x:c r="E88" s="16" t="n">
        <x:v>0</x:v>
      </x:c>
      <x:c r="F88" s="16" t="n">
        <x:v>0</x:v>
      </x:c>
      <x:c r="G88" s="16" t="n">
        <x:v>0</x:v>
      </x:c>
      <x:c r="H88" s="16" t="n">
        <x:f>SUM(C88:G88)</x:f>
        <x:v>0</x:v>
      </x:c>
      <x:c r="I88" s="35" t="n">
        <x:f>H88/60</x:f>
        <x:v>0</x:v>
      </x:c>
      <x:c r="J88" s="16" t="str">
        <x:f>IF(I88&gt;=2,"Yes","No")</x:f>
        <x:v>No</x:v>
      </x:c>
    </x:row>
    <x:row r="89">
      <x:c r="A89" s="14" t="n">
        <x:v>46360</x:v>
      </x:c>
      <x:c r="B89" s="16" t="str">
        <x:f>TEXT(A89,"ddd")</x:f>
        <x:v>Fri</x:v>
      </x:c>
      <x:c r="C89" s="16" t="n">
        <x:v>0</x:v>
      </x:c>
      <x:c r="D89" s="16" t="n">
        <x:v>0</x:v>
      </x:c>
      <x:c r="E89" s="16" t="n">
        <x:v>0</x:v>
      </x:c>
      <x:c r="F89" s="16" t="n">
        <x:v>0</x:v>
      </x:c>
      <x:c r="G89" s="16" t="n">
        <x:v>0</x:v>
      </x:c>
      <x:c r="H89" s="16" t="n">
        <x:f>SUM(C89:G89)</x:f>
        <x:v>0</x:v>
      </x:c>
      <x:c r="I89" s="35" t="n">
        <x:f>H89/60</x:f>
        <x:v>0</x:v>
      </x:c>
      <x:c r="J89" s="16" t="str">
        <x:f>IF(I89&gt;=2,"Yes","No")</x:f>
        <x:v>No</x:v>
      </x:c>
    </x:row>
    <x:row r="90">
      <x:c r="A90" s="14" t="n">
        <x:v>46361</x:v>
      </x:c>
      <x:c r="B90" s="16" t="str">
        <x:f>TEXT(A90,"ddd")</x:f>
        <x:v>Sat</x:v>
      </x:c>
      <x:c r="C90" s="16" t="n">
        <x:v>0</x:v>
      </x:c>
      <x:c r="D90" s="16" t="n">
        <x:v>0</x:v>
      </x:c>
      <x:c r="E90" s="16" t="n">
        <x:v>0</x:v>
      </x:c>
      <x:c r="F90" s="16" t="n">
        <x:v>0</x:v>
      </x:c>
      <x:c r="G90" s="16" t="n">
        <x:v>0</x:v>
      </x:c>
      <x:c r="H90" s="16" t="n">
        <x:f>SUM(C90:G90)</x:f>
        <x:v>0</x:v>
      </x:c>
      <x:c r="I90" s="35" t="n">
        <x:f>H90/60</x:f>
        <x:v>0</x:v>
      </x:c>
      <x:c r="J90" s="16" t="str">
        <x:f>IF(I90&gt;=2,"Yes","No")</x:f>
        <x:v>No</x:v>
      </x:c>
    </x:row>
    <x:row r="91">
      <x:c r="A91" s="14" t="n">
        <x:v>46362</x:v>
      </x:c>
      <x:c r="B91" s="16" t="str">
        <x:f>TEXT(A91,"ddd")</x:f>
        <x:v>Sun</x:v>
      </x:c>
      <x:c r="C91" s="16" t="n">
        <x:v>0</x:v>
      </x:c>
      <x:c r="D91" s="16" t="n">
        <x:v>0</x:v>
      </x:c>
      <x:c r="E91" s="16" t="n">
        <x:v>0</x:v>
      </x:c>
      <x:c r="F91" s="16" t="n">
        <x:v>0</x:v>
      </x:c>
      <x:c r="G91" s="16" t="n">
        <x:v>0</x:v>
      </x:c>
      <x:c r="H91" s="16" t="n">
        <x:f>SUM(C91:G91)</x:f>
        <x:v>0</x:v>
      </x:c>
      <x:c r="I91" s="35" t="n">
        <x:f>H91/60</x:f>
        <x:v>0</x:v>
      </x:c>
      <x:c r="J91" s="16" t="str">
        <x:f>IF(I91&gt;=2,"Yes","No")</x:f>
        <x:v>No</x:v>
      </x:c>
    </x:row>
    <x:row r="92">
      <x:c r="A92" s="14" t="n">
        <x:v>46363</x:v>
      </x:c>
      <x:c r="B92" s="16" t="str">
        <x:f>TEXT(A92,"ddd")</x:f>
        <x:v>Mon</x:v>
      </x:c>
      <x:c r="C92" s="16" t="n">
        <x:v>0</x:v>
      </x:c>
      <x:c r="D92" s="16" t="n">
        <x:v>0</x:v>
      </x:c>
      <x:c r="E92" s="16" t="n">
        <x:v>0</x:v>
      </x:c>
      <x:c r="F92" s="16" t="n">
        <x:v>0</x:v>
      </x:c>
      <x:c r="G92" s="16" t="n">
        <x:v>0</x:v>
      </x:c>
      <x:c r="H92" s="16" t="n">
        <x:f>SUM(C92:G92)</x:f>
        <x:v>0</x:v>
      </x:c>
      <x:c r="I92" s="35" t="n">
        <x:f>H92/60</x:f>
        <x:v>0</x:v>
      </x:c>
      <x:c r="J92" s="16" t="str">
        <x:f>IF(I92&gt;=2,"Yes","No")</x:f>
        <x:v>No</x:v>
      </x:c>
    </x:row>
    <x:row r="93">
      <x:c r="A93" s="14" t="n">
        <x:v>46364</x:v>
      </x:c>
      <x:c r="B93" s="16" t="str">
        <x:f>TEXT(A93,"ddd")</x:f>
        <x:v>Tue</x:v>
      </x:c>
      <x:c r="C93" s="16" t="n">
        <x:v>0</x:v>
      </x:c>
      <x:c r="D93" s="16" t="n">
        <x:v>0</x:v>
      </x:c>
      <x:c r="E93" s="16" t="n">
        <x:v>0</x:v>
      </x:c>
      <x:c r="F93" s="16" t="n">
        <x:v>0</x:v>
      </x:c>
      <x:c r="G93" s="16" t="n">
        <x:v>0</x:v>
      </x:c>
      <x:c r="H93" s="16" t="n">
        <x:f>SUM(C93:G93)</x:f>
        <x:v>0</x:v>
      </x:c>
      <x:c r="I93" s="35" t="n">
        <x:f>H93/60</x:f>
        <x:v>0</x:v>
      </x:c>
      <x:c r="J93" s="16" t="str">
        <x:f>IF(I93&gt;=2,"Yes","No")</x:f>
        <x:v>No</x:v>
      </x:c>
    </x:row>
    <x:row r="94">
      <x:c r="A94" s="14" t="n">
        <x:v>46365</x:v>
      </x:c>
      <x:c r="B94" s="16" t="str">
        <x:f>TEXT(A94,"ddd")</x:f>
        <x:v>Wed</x:v>
      </x:c>
      <x:c r="C94" s="16" t="n">
        <x:v>0</x:v>
      </x:c>
      <x:c r="D94" s="16" t="n">
        <x:v>0</x:v>
      </x:c>
      <x:c r="E94" s="16" t="n">
        <x:v>0</x:v>
      </x:c>
      <x:c r="F94" s="16" t="n">
        <x:v>0</x:v>
      </x:c>
      <x:c r="G94" s="16" t="n">
        <x:v>0</x:v>
      </x:c>
      <x:c r="H94" s="16" t="n">
        <x:f>SUM(C94:G94)</x:f>
        <x:v>0</x:v>
      </x:c>
      <x:c r="I94" s="35" t="n">
        <x:f>H94/60</x:f>
        <x:v>0</x:v>
      </x:c>
      <x:c r="J94" s="16" t="str">
        <x:f>IF(I94&gt;=2,"Yes","No")</x:f>
        <x:v>No</x:v>
      </x:c>
    </x:row>
    <x:row r="95">
      <x:c r="A95" s="14" t="n">
        <x:v>46366</x:v>
      </x:c>
      <x:c r="B95" s="16" t="str">
        <x:f>TEXT(A95,"ddd")</x:f>
        <x:v>Thu</x:v>
      </x:c>
      <x:c r="C95" s="16" t="n">
        <x:v>0</x:v>
      </x:c>
      <x:c r="D95" s="16" t="n">
        <x:v>0</x:v>
      </x:c>
      <x:c r="E95" s="16" t="n">
        <x:v>0</x:v>
      </x:c>
      <x:c r="F95" s="16" t="n">
        <x:v>0</x:v>
      </x:c>
      <x:c r="G95" s="16" t="n">
        <x:v>0</x:v>
      </x:c>
      <x:c r="H95" s="16" t="n">
        <x:f>SUM(C95:G95)</x:f>
        <x:v>0</x:v>
      </x:c>
      <x:c r="I95" s="35" t="n">
        <x:f>H95/60</x:f>
        <x:v>0</x:v>
      </x:c>
      <x:c r="J95" s="16" t="str">
        <x:f>IF(I95&gt;=2,"Yes","No")</x:f>
        <x:v>No</x:v>
      </x:c>
    </x:row>
    <x:row r="96">
      <x:c r="A96" s="14" t="n">
        <x:v>46367</x:v>
      </x:c>
      <x:c r="B96" s="16" t="str">
        <x:f>TEXT(A96,"ddd")</x:f>
        <x:v>Fri</x:v>
      </x:c>
      <x:c r="C96" s="16" t="n">
        <x:v>0</x:v>
      </x:c>
      <x:c r="D96" s="16" t="n">
        <x:v>0</x:v>
      </x:c>
      <x:c r="E96" s="16" t="n">
        <x:v>0</x:v>
      </x:c>
      <x:c r="F96" s="16" t="n">
        <x:v>0</x:v>
      </x:c>
      <x:c r="G96" s="16" t="n">
        <x:v>0</x:v>
      </x:c>
      <x:c r="H96" s="16" t="n">
        <x:f>SUM(C96:G96)</x:f>
        <x:v>0</x:v>
      </x:c>
      <x:c r="I96" s="35" t="n">
        <x:f>H96/60</x:f>
        <x:v>0</x:v>
      </x:c>
      <x:c r="J96" s="16" t="str">
        <x:f>IF(I96&gt;=2,"Yes","No")</x:f>
        <x:v>No</x:v>
      </x:c>
    </x:row>
    <x:row r="97">
      <x:c r="A97" s="14" t="n">
        <x:v>46368</x:v>
      </x:c>
      <x:c r="B97" s="16" t="str">
        <x:f>TEXT(A97,"ddd")</x:f>
        <x:v>Sat</x:v>
      </x:c>
      <x:c r="C97" s="16" t="n">
        <x:v>0</x:v>
      </x:c>
      <x:c r="D97" s="16" t="n">
        <x:v>0</x:v>
      </x:c>
      <x:c r="E97" s="16" t="n">
        <x:v>0</x:v>
      </x:c>
      <x:c r="F97" s="16" t="n">
        <x:v>0</x:v>
      </x:c>
      <x:c r="G97" s="16" t="n">
        <x:v>0</x:v>
      </x:c>
      <x:c r="H97" s="16" t="n">
        <x:f>SUM(C97:G97)</x:f>
        <x:v>0</x:v>
      </x:c>
      <x:c r="I97" s="35" t="n">
        <x:f>H97/60</x:f>
        <x:v>0</x:v>
      </x:c>
      <x:c r="J97" s="16" t="str">
        <x:f>IF(I97&gt;=2,"Yes","No")</x:f>
        <x:v>No</x:v>
      </x:c>
    </x:row>
    <x:row r="98">
      <x:c r="A98" s="14" t="n">
        <x:v>46369</x:v>
      </x:c>
      <x:c r="B98" s="16" t="str">
        <x:f>TEXT(A98,"ddd")</x:f>
        <x:v>Sun</x:v>
      </x:c>
      <x:c r="C98" s="16" t="n">
        <x:v>0</x:v>
      </x:c>
      <x:c r="D98" s="16" t="n">
        <x:v>0</x:v>
      </x:c>
      <x:c r="E98" s="16" t="n">
        <x:v>0</x:v>
      </x:c>
      <x:c r="F98" s="16" t="n">
        <x:v>0</x:v>
      </x:c>
      <x:c r="G98" s="16" t="n">
        <x:v>0</x:v>
      </x:c>
      <x:c r="H98" s="16" t="n">
        <x:f>SUM(C98:G98)</x:f>
        <x:v>0</x:v>
      </x:c>
      <x:c r="I98" s="35" t="n">
        <x:f>H98/60</x:f>
        <x:v>0</x:v>
      </x:c>
      <x:c r="J98" s="16" t="str">
        <x:f>IF(I98&gt;=2,"Yes","No")</x:f>
        <x:v>No</x:v>
      </x:c>
    </x:row>
    <x:row r="99">
      <x:c r="A99" s="14" t="n">
        <x:v>46370</x:v>
      </x:c>
      <x:c r="B99" s="16" t="str">
        <x:f>TEXT(A99,"ddd")</x:f>
        <x:v>Mon</x:v>
      </x:c>
      <x:c r="C99" s="16" t="n">
        <x:v>0</x:v>
      </x:c>
      <x:c r="D99" s="16" t="n">
        <x:v>0</x:v>
      </x:c>
      <x:c r="E99" s="16" t="n">
        <x:v>0</x:v>
      </x:c>
      <x:c r="F99" s="16" t="n">
        <x:v>0</x:v>
      </x:c>
      <x:c r="G99" s="16" t="n">
        <x:v>0</x:v>
      </x:c>
      <x:c r="H99" s="16" t="n">
        <x:f>SUM(C99:G99)</x:f>
        <x:v>0</x:v>
      </x:c>
      <x:c r="I99" s="35" t="n">
        <x:f>H99/60</x:f>
        <x:v>0</x:v>
      </x:c>
      <x:c r="J99" s="16" t="str">
        <x:f>IF(I99&gt;=2,"Yes","No")</x:f>
        <x:v>No</x:v>
      </x:c>
    </x:row>
    <x:row r="100">
      <x:c r="A100" s="14" t="n">
        <x:v>46371</x:v>
      </x:c>
      <x:c r="B100" s="16" t="str">
        <x:f>TEXT(A100,"ddd")</x:f>
        <x:v>Tue</x:v>
      </x:c>
      <x:c r="C100" s="16" t="n">
        <x:v>0</x:v>
      </x:c>
      <x:c r="D100" s="16" t="n">
        <x:v>0</x:v>
      </x:c>
      <x:c r="E100" s="16" t="n">
        <x:v>0</x:v>
      </x:c>
      <x:c r="F100" s="16" t="n">
        <x:v>0</x:v>
      </x:c>
      <x:c r="G100" s="16" t="n">
        <x:v>0</x:v>
      </x:c>
      <x:c r="H100" s="16" t="n">
        <x:f>SUM(C100:G100)</x:f>
        <x:v>0</x:v>
      </x:c>
      <x:c r="I100" s="35" t="n">
        <x:f>H100/60</x:f>
        <x:v>0</x:v>
      </x:c>
      <x:c r="J100" s="16" t="str">
        <x:f>IF(I100&gt;=2,"Yes","No")</x:f>
        <x:v>No</x:v>
      </x:c>
    </x:row>
    <x:row r="101">
      <x:c r="A101" s="14" t="n">
        <x:v>46372</x:v>
      </x:c>
      <x:c r="B101" s="16" t="str">
        <x:f>TEXT(A101,"ddd")</x:f>
        <x:v>Wed</x:v>
      </x:c>
      <x:c r="C101" s="16" t="n">
        <x:v>0</x:v>
      </x:c>
      <x:c r="D101" s="16" t="n">
        <x:v>0</x:v>
      </x:c>
      <x:c r="E101" s="16" t="n">
        <x:v>0</x:v>
      </x:c>
      <x:c r="F101" s="16" t="n">
        <x:v>0</x:v>
      </x:c>
      <x:c r="G101" s="16" t="n">
        <x:v>0</x:v>
      </x:c>
      <x:c r="H101" s="16" t="n">
        <x:f>SUM(C101:G101)</x:f>
        <x:v>0</x:v>
      </x:c>
      <x:c r="I101" s="35" t="n">
        <x:f>H101/60</x:f>
        <x:v>0</x:v>
      </x:c>
      <x:c r="J101" s="16" t="str">
        <x:f>IF(I101&gt;=2,"Yes","No")</x:f>
        <x:v>No</x:v>
      </x:c>
    </x:row>
    <x:row r="102">
      <x:c r="A102" s="14" t="n">
        <x:v>46373</x:v>
      </x:c>
      <x:c r="B102" s="16" t="str">
        <x:f>TEXT(A102,"ddd")</x:f>
        <x:v>Thu</x:v>
      </x:c>
      <x:c r="C102" s="16" t="n">
        <x:v>0</x:v>
      </x:c>
      <x:c r="D102" s="16" t="n">
        <x:v>0</x:v>
      </x:c>
      <x:c r="E102" s="16" t="n">
        <x:v>0</x:v>
      </x:c>
      <x:c r="F102" s="16" t="n">
        <x:v>0</x:v>
      </x:c>
      <x:c r="G102" s="16" t="n">
        <x:v>0</x:v>
      </x:c>
      <x:c r="H102" s="16" t="n">
        <x:f>SUM(C102:G102)</x:f>
        <x:v>0</x:v>
      </x:c>
      <x:c r="I102" s="35" t="n">
        <x:f>H102/60</x:f>
        <x:v>0</x:v>
      </x:c>
      <x:c r="J102" s="16" t="str">
        <x:f>IF(I102&gt;=2,"Yes","No")</x:f>
        <x:v>No</x:v>
      </x:c>
    </x:row>
    <x:row r="103">
      <x:c r="A103" s="14" t="n">
        <x:v>46374</x:v>
      </x:c>
      <x:c r="B103" s="16" t="str">
        <x:f>TEXT(A103,"ddd")</x:f>
        <x:v>Fri</x:v>
      </x:c>
      <x:c r="C103" s="16" t="n">
        <x:v>0</x:v>
      </x:c>
      <x:c r="D103" s="16" t="n">
        <x:v>0</x:v>
      </x:c>
      <x:c r="E103" s="16" t="n">
        <x:v>0</x:v>
      </x:c>
      <x:c r="F103" s="16" t="n">
        <x:v>0</x:v>
      </x:c>
      <x:c r="G103" s="16" t="n">
        <x:v>0</x:v>
      </x:c>
      <x:c r="H103" s="16" t="n">
        <x:f>SUM(C103:G103)</x:f>
        <x:v>0</x:v>
      </x:c>
      <x:c r="I103" s="35" t="n">
        <x:f>H103/60</x:f>
        <x:v>0</x:v>
      </x:c>
      <x:c r="J103" s="16" t="str">
        <x:f>IF(I103&gt;=2,"Yes","No")</x:f>
        <x:v>No</x:v>
      </x:c>
    </x:row>
    <x:row r="104">
      <x:c r="A104" s="14" t="n">
        <x:v>46375</x:v>
      </x:c>
      <x:c r="B104" s="16" t="str">
        <x:f>TEXT(A104,"ddd")</x:f>
        <x:v>Sat</x:v>
      </x:c>
      <x:c r="C104" s="16" t="n">
        <x:v>0</x:v>
      </x:c>
      <x:c r="D104" s="16" t="n">
        <x:v>0</x:v>
      </x:c>
      <x:c r="E104" s="16" t="n">
        <x:v>0</x:v>
      </x:c>
      <x:c r="F104" s="16" t="n">
        <x:v>0</x:v>
      </x:c>
      <x:c r="G104" s="16" t="n">
        <x:v>0</x:v>
      </x:c>
      <x:c r="H104" s="16" t="n">
        <x:f>SUM(C104:G104)</x:f>
        <x:v>0</x:v>
      </x:c>
      <x:c r="I104" s="35" t="n">
        <x:f>H104/60</x:f>
        <x:v>0</x:v>
      </x:c>
      <x:c r="J104" s="16" t="str">
        <x:f>IF(I104&gt;=2,"Yes","No")</x:f>
        <x:v>No</x:v>
      </x:c>
    </x:row>
    <x:row r="105">
      <x:c r="A105" s="14" t="n">
        <x:v>46376</x:v>
      </x:c>
      <x:c r="B105" s="16" t="str">
        <x:f>TEXT(A105,"ddd")</x:f>
        <x:v>Sun</x:v>
      </x:c>
      <x:c r="C105" s="16" t="n">
        <x:v>0</x:v>
      </x:c>
      <x:c r="D105" s="16" t="n">
        <x:v>0</x:v>
      </x:c>
      <x:c r="E105" s="16" t="n">
        <x:v>0</x:v>
      </x:c>
      <x:c r="F105" s="16" t="n">
        <x:v>0</x:v>
      </x:c>
      <x:c r="G105" s="16" t="n">
        <x:v>0</x:v>
      </x:c>
      <x:c r="H105" s="16" t="n">
        <x:f>SUM(C105:G105)</x:f>
        <x:v>0</x:v>
      </x:c>
      <x:c r="I105" s="35" t="n">
        <x:f>H105/60</x:f>
        <x:v>0</x:v>
      </x:c>
      <x:c r="J105" s="16" t="str">
        <x:f>IF(I105&gt;=2,"Yes","No")</x:f>
        <x:v>No</x:v>
      </x:c>
    </x:row>
    <x:row r="106">
      <x:c r="A106" s="14" t="n">
        <x:v>46377</x:v>
      </x:c>
      <x:c r="B106" s="16" t="str">
        <x:f>TEXT(A106,"ddd")</x:f>
        <x:v>Mon</x:v>
      </x:c>
      <x:c r="C106" s="16" t="n">
        <x:v>0</x:v>
      </x:c>
      <x:c r="D106" s="16" t="n">
        <x:v>0</x:v>
      </x:c>
      <x:c r="E106" s="16" t="n">
        <x:v>0</x:v>
      </x:c>
      <x:c r="F106" s="16" t="n">
        <x:v>0</x:v>
      </x:c>
      <x:c r="G106" s="16" t="n">
        <x:v>0</x:v>
      </x:c>
      <x:c r="H106" s="16" t="n">
        <x:f>SUM(C106:G106)</x:f>
        <x:v>0</x:v>
      </x:c>
      <x:c r="I106" s="35" t="n">
        <x:f>H106/60</x:f>
        <x:v>0</x:v>
      </x:c>
      <x:c r="J106" s="16" t="str">
        <x:f>IF(I106&gt;=2,"Yes","No")</x:f>
        <x:v>No</x:v>
      </x:c>
    </x:row>
    <x:row r="107">
      <x:c r="A107" s="14" t="n">
        <x:v>46378</x:v>
      </x:c>
      <x:c r="B107" s="16" t="str">
        <x:f>TEXT(A107,"ddd")</x:f>
        <x:v>Tue</x:v>
      </x:c>
      <x:c r="C107" s="16" t="n">
        <x:v>0</x:v>
      </x:c>
      <x:c r="D107" s="16" t="n">
        <x:v>0</x:v>
      </x:c>
      <x:c r="E107" s="16" t="n">
        <x:v>0</x:v>
      </x:c>
      <x:c r="F107" s="16" t="n">
        <x:v>0</x:v>
      </x:c>
      <x:c r="G107" s="16" t="n">
        <x:v>0</x:v>
      </x:c>
      <x:c r="H107" s="16" t="n">
        <x:f>SUM(C107:G107)</x:f>
        <x:v>0</x:v>
      </x:c>
      <x:c r="I107" s="35" t="n">
        <x:f>H107/60</x:f>
        <x:v>0</x:v>
      </x:c>
      <x:c r="J107" s="16" t="str">
        <x:f>IF(I107&gt;=2,"Yes","No")</x:f>
        <x:v>No</x:v>
      </x:c>
    </x:row>
    <x:row r="108">
      <x:c r="A108" s="14" t="n">
        <x:v>46379</x:v>
      </x:c>
      <x:c r="B108" s="16" t="str">
        <x:f>TEXT(A108,"ddd")</x:f>
        <x:v>Wed</x:v>
      </x:c>
      <x:c r="C108" s="16" t="n">
        <x:v>0</x:v>
      </x:c>
      <x:c r="D108" s="16" t="n">
        <x:v>0</x:v>
      </x:c>
      <x:c r="E108" s="16" t="n">
        <x:v>0</x:v>
      </x:c>
      <x:c r="F108" s="16" t="n">
        <x:v>0</x:v>
      </x:c>
      <x:c r="G108" s="16" t="n">
        <x:v>0</x:v>
      </x:c>
      <x:c r="H108" s="16" t="n">
        <x:f>SUM(C108:G108)</x:f>
        <x:v>0</x:v>
      </x:c>
      <x:c r="I108" s="35" t="n">
        <x:f>H108/60</x:f>
        <x:v>0</x:v>
      </x:c>
      <x:c r="J108" s="16" t="str">
        <x:f>IF(I108&gt;=2,"Yes","No")</x:f>
        <x:v>No</x:v>
      </x:c>
    </x:row>
    <x:row r="109">
      <x:c r="A109" s="14" t="n">
        <x:v>46380</x:v>
      </x:c>
      <x:c r="B109" s="16" t="str">
        <x:f>TEXT(A109,"ddd")</x:f>
        <x:v>Thu</x:v>
      </x:c>
      <x:c r="C109" s="16" t="n">
        <x:v>0</x:v>
      </x:c>
      <x:c r="D109" s="16" t="n">
        <x:v>0</x:v>
      </x:c>
      <x:c r="E109" s="16" t="n">
        <x:v>0</x:v>
      </x:c>
      <x:c r="F109" s="16" t="n">
        <x:v>0</x:v>
      </x:c>
      <x:c r="G109" s="16" t="n">
        <x:v>0</x:v>
      </x:c>
      <x:c r="H109" s="16" t="n">
        <x:f>SUM(C109:G109)</x:f>
        <x:v>0</x:v>
      </x:c>
      <x:c r="I109" s="35" t="n">
        <x:f>H109/60</x:f>
        <x:v>0</x:v>
      </x:c>
      <x:c r="J109" s="16" t="str">
        <x:f>IF(I109&gt;=2,"Yes","No")</x:f>
        <x:v>No</x:v>
      </x:c>
    </x:row>
    <x:row r="110">
      <x:c r="A110" s="14" t="n">
        <x:v>46381</x:v>
      </x:c>
      <x:c r="B110" s="16" t="str">
        <x:f>TEXT(A110,"ddd")</x:f>
        <x:v>Fri</x:v>
      </x:c>
      <x:c r="C110" s="16" t="n">
        <x:v>0</x:v>
      </x:c>
      <x:c r="D110" s="16" t="n">
        <x:v>0</x:v>
      </x:c>
      <x:c r="E110" s="16" t="n">
        <x:v>0</x:v>
      </x:c>
      <x:c r="F110" s="16" t="n">
        <x:v>0</x:v>
      </x:c>
      <x:c r="G110" s="16" t="n">
        <x:v>0</x:v>
      </x:c>
      <x:c r="H110" s="16" t="n">
        <x:f>SUM(C110:G110)</x:f>
        <x:v>0</x:v>
      </x:c>
      <x:c r="I110" s="35" t="n">
        <x:f>H110/60</x:f>
        <x:v>0</x:v>
      </x:c>
      <x:c r="J110" s="16" t="str">
        <x:f>IF(I110&gt;=2,"Yes","No")</x:f>
        <x:v>No</x:v>
      </x:c>
    </x:row>
    <x:row r="111">
      <x:c r="A111" s="14" t="n">
        <x:v>46382</x:v>
      </x:c>
      <x:c r="B111" s="16" t="str">
        <x:f>TEXT(A111,"ddd")</x:f>
        <x:v>Sat</x:v>
      </x:c>
      <x:c r="C111" s="16" t="n">
        <x:v>0</x:v>
      </x:c>
      <x:c r="D111" s="16" t="n">
        <x:v>0</x:v>
      </x:c>
      <x:c r="E111" s="16" t="n">
        <x:v>0</x:v>
      </x:c>
      <x:c r="F111" s="16" t="n">
        <x:v>0</x:v>
      </x:c>
      <x:c r="G111" s="16" t="n">
        <x:v>0</x:v>
      </x:c>
      <x:c r="H111" s="16" t="n">
        <x:f>SUM(C111:G111)</x:f>
        <x:v>0</x:v>
      </x:c>
      <x:c r="I111" s="35" t="n">
        <x:f>H111/60</x:f>
        <x:v>0</x:v>
      </x:c>
      <x:c r="J111" s="16" t="str">
        <x:f>IF(I111&gt;=2,"Yes","No")</x:f>
        <x:v>No</x:v>
      </x:c>
    </x:row>
    <x:row r="112">
      <x:c r="A112" s="14" t="n">
        <x:v>46383</x:v>
      </x:c>
      <x:c r="B112" s="16" t="str">
        <x:f>TEXT(A112,"ddd")</x:f>
        <x:v>Sun</x:v>
      </x:c>
      <x:c r="C112" s="16" t="n">
        <x:v>0</x:v>
      </x:c>
      <x:c r="D112" s="16" t="n">
        <x:v>0</x:v>
      </x:c>
      <x:c r="E112" s="16" t="n">
        <x:v>0</x:v>
      </x:c>
      <x:c r="F112" s="16" t="n">
        <x:v>0</x:v>
      </x:c>
      <x:c r="G112" s="16" t="n">
        <x:v>0</x:v>
      </x:c>
      <x:c r="H112" s="16" t="n">
        <x:f>SUM(C112:G112)</x:f>
        <x:v>0</x:v>
      </x:c>
      <x:c r="I112" s="35" t="n">
        <x:f>H112/60</x:f>
        <x:v>0</x:v>
      </x:c>
      <x:c r="J112" s="16" t="str">
        <x:f>IF(I112&gt;=2,"Yes","No")</x:f>
        <x:v>No</x:v>
      </x:c>
    </x:row>
    <x:row r="113">
      <x:c r="A113" s="14" t="n">
        <x:v>46384</x:v>
      </x:c>
      <x:c r="B113" s="16" t="str">
        <x:f>TEXT(A113,"ddd")</x:f>
        <x:v>Mon</x:v>
      </x:c>
      <x:c r="C113" s="16" t="n">
        <x:v>0</x:v>
      </x:c>
      <x:c r="D113" s="16" t="n">
        <x:v>0</x:v>
      </x:c>
      <x:c r="E113" s="16" t="n">
        <x:v>0</x:v>
      </x:c>
      <x:c r="F113" s="16" t="n">
        <x:v>0</x:v>
      </x:c>
      <x:c r="G113" s="16" t="n">
        <x:v>0</x:v>
      </x:c>
      <x:c r="H113" s="16" t="n">
        <x:f>SUM(C113:G113)</x:f>
        <x:v>0</x:v>
      </x:c>
      <x:c r="I113" s="35" t="n">
        <x:f>H113/60</x:f>
        <x:v>0</x:v>
      </x:c>
      <x:c r="J113" s="16" t="str">
        <x:f>IF(I113&gt;=2,"Yes","No")</x:f>
        <x:v>No</x:v>
      </x:c>
    </x:row>
    <x:row r="114">
      <x:c r="A114" s="14" t="n">
        <x:v>46385</x:v>
      </x:c>
      <x:c r="B114" s="16" t="str">
        <x:f>TEXT(A114,"ddd")</x:f>
        <x:v>Tue</x:v>
      </x:c>
      <x:c r="C114" s="16" t="n">
        <x:v>0</x:v>
      </x:c>
      <x:c r="D114" s="16" t="n">
        <x:v>0</x:v>
      </x:c>
      <x:c r="E114" s="16" t="n">
        <x:v>0</x:v>
      </x:c>
      <x:c r="F114" s="16" t="n">
        <x:v>0</x:v>
      </x:c>
      <x:c r="G114" s="16" t="n">
        <x:v>0</x:v>
      </x:c>
      <x:c r="H114" s="16" t="n">
        <x:f>SUM(C114:G114)</x:f>
        <x:v>0</x:v>
      </x:c>
      <x:c r="I114" s="35" t="n">
        <x:f>H114/60</x:f>
        <x:v>0</x:v>
      </x:c>
      <x:c r="J114" s="16" t="str">
        <x:f>IF(I114&gt;=2,"Yes","No")</x:f>
        <x:v>No</x:v>
      </x:c>
    </x:row>
    <x:row r="115">
      <x:c r="A115" s="14" t="n">
        <x:v>46386</x:v>
      </x:c>
      <x:c r="B115" s="16" t="str">
        <x:f>TEXT(A115,"ddd")</x:f>
        <x:v>Wed</x:v>
      </x:c>
      <x:c r="C115" s="16" t="n">
        <x:v>0</x:v>
      </x:c>
      <x:c r="D115" s="16" t="n">
        <x:v>0</x:v>
      </x:c>
      <x:c r="E115" s="16" t="n">
        <x:v>0</x:v>
      </x:c>
      <x:c r="F115" s="16" t="n">
        <x:v>0</x:v>
      </x:c>
      <x:c r="G115" s="16" t="n">
        <x:v>0</x:v>
      </x:c>
      <x:c r="H115" s="16" t="n">
        <x:f>SUM(C115:G115)</x:f>
        <x:v>0</x:v>
      </x:c>
      <x:c r="I115" s="35" t="n">
        <x:f>H115/60</x:f>
        <x:v>0</x:v>
      </x:c>
      <x:c r="J115" s="16" t="str">
        <x:f>IF(I115&gt;=2,"Yes","No")</x:f>
        <x:v>No</x:v>
      </x:c>
    </x:row>
    <x:row r="116">
      <x:c r="A116" s="14" t="n">
        <x:v>46387</x:v>
      </x:c>
      <x:c r="B116" s="16" t="str">
        <x:f>TEXT(A116,"ddd")</x:f>
        <x:v>Thu</x:v>
      </x:c>
      <x:c r="C116" s="16" t="n">
        <x:v>0</x:v>
      </x:c>
      <x:c r="D116" s="16" t="n">
        <x:v>0</x:v>
      </x:c>
      <x:c r="E116" s="16" t="n">
        <x:v>0</x:v>
      </x:c>
      <x:c r="F116" s="16" t="n">
        <x:v>0</x:v>
      </x:c>
      <x:c r="G116" s="16" t="n">
        <x:v>0</x:v>
      </x:c>
      <x:c r="H116" s="16" t="n">
        <x:f>SUM(C116:G116)</x:f>
        <x:v>0</x:v>
      </x:c>
      <x:c r="I116" s="35" t="n">
        <x:f>H116/60</x:f>
        <x:v>0</x:v>
      </x:c>
      <x:c r="J116" s="16" t="str">
        <x:f>IF(I116&gt;=2,"Yes","No")</x:f>
        <x:v>No</x:v>
      </x:c>
    </x:row>
    <x:row r="117">
      <x:c r="A117" s="14" t="n">
        <x:v>46388</x:v>
      </x:c>
      <x:c r="B117" s="16" t="str">
        <x:f>TEXT(A117,"ddd")</x:f>
        <x:v>Fri</x:v>
      </x:c>
      <x:c r="C117" s="16" t="n">
        <x:v>0</x:v>
      </x:c>
      <x:c r="D117" s="16" t="n">
        <x:v>0</x:v>
      </x:c>
      <x:c r="E117" s="16" t="n">
        <x:v>0</x:v>
      </x:c>
      <x:c r="F117" s="16" t="n">
        <x:v>0</x:v>
      </x:c>
      <x:c r="G117" s="16" t="n">
        <x:v>0</x:v>
      </x:c>
      <x:c r="H117" s="16" t="n">
        <x:f>SUM(C117:G117)</x:f>
        <x:v>0</x:v>
      </x:c>
      <x:c r="I117" s="35" t="n">
        <x:f>H117/60</x:f>
        <x:v>0</x:v>
      </x:c>
      <x:c r="J117" s="16" t="str">
        <x:f>IF(I117&gt;=2,"Yes","No")</x:f>
        <x:v>No</x:v>
      </x:c>
    </x:row>
    <x:row r="118">
      <x:c r="A118" s="14" t="n">
        <x:v>46389</x:v>
      </x:c>
      <x:c r="B118" s="16" t="str">
        <x:f>TEXT(A118,"ddd")</x:f>
        <x:v>Sat</x:v>
      </x:c>
      <x:c r="C118" s="16" t="n">
        <x:v>0</x:v>
      </x:c>
      <x:c r="D118" s="16" t="n">
        <x:v>0</x:v>
      </x:c>
      <x:c r="E118" s="16" t="n">
        <x:v>0</x:v>
      </x:c>
      <x:c r="F118" s="16" t="n">
        <x:v>0</x:v>
      </x:c>
      <x:c r="G118" s="16" t="n">
        <x:v>0</x:v>
      </x:c>
      <x:c r="H118" s="16" t="n">
        <x:f>SUM(C118:G118)</x:f>
        <x:v>0</x:v>
      </x:c>
      <x:c r="I118" s="35" t="n">
        <x:f>H118/60</x:f>
        <x:v>0</x:v>
      </x:c>
      <x:c r="J118" s="16" t="str">
        <x:f>IF(I118&gt;=2,"Yes","No")</x:f>
        <x:v>No</x:v>
      </x:c>
    </x:row>
    <x:row r="119">
      <x:c r="A119" s="14" t="n">
        <x:v>46390</x:v>
      </x:c>
      <x:c r="B119" s="16" t="str">
        <x:f>TEXT(A119,"ddd")</x:f>
        <x:v>Sun</x:v>
      </x:c>
      <x:c r="C119" s="16" t="n">
        <x:v>0</x:v>
      </x:c>
      <x:c r="D119" s="16" t="n">
        <x:v>0</x:v>
      </x:c>
      <x:c r="E119" s="16" t="n">
        <x:v>0</x:v>
      </x:c>
      <x:c r="F119" s="16" t="n">
        <x:v>0</x:v>
      </x:c>
      <x:c r="G119" s="16" t="n">
        <x:v>0</x:v>
      </x:c>
      <x:c r="H119" s="16" t="n">
        <x:f>SUM(C119:G119)</x:f>
        <x:v>0</x:v>
      </x:c>
      <x:c r="I119" s="35" t="n">
        <x:f>H119/60</x:f>
        <x:v>0</x:v>
      </x:c>
      <x:c r="J119" s="16" t="str">
        <x:f>IF(I119&gt;=2,"Yes","No")</x:f>
        <x:v>No</x:v>
      </x:c>
    </x:row>
    <x:row r="120">
      <x:c r="A120" s="14" t="n">
        <x:v>46391</x:v>
      </x:c>
      <x:c r="B120" s="16" t="str">
        <x:f>TEXT(A120,"ddd")</x:f>
        <x:v>Mon</x:v>
      </x:c>
      <x:c r="C120" s="16" t="n">
        <x:v>0</x:v>
      </x:c>
      <x:c r="D120" s="16" t="n">
        <x:v>0</x:v>
      </x:c>
      <x:c r="E120" s="16" t="n">
        <x:v>0</x:v>
      </x:c>
      <x:c r="F120" s="16" t="n">
        <x:v>0</x:v>
      </x:c>
      <x:c r="G120" s="16" t="n">
        <x:v>0</x:v>
      </x:c>
      <x:c r="H120" s="16" t="n">
        <x:f>SUM(C120:G120)</x:f>
        <x:v>0</x:v>
      </x:c>
      <x:c r="I120" s="35" t="n">
        <x:f>H120/60</x:f>
        <x:v>0</x:v>
      </x:c>
      <x:c r="J120" s="16" t="str">
        <x:f>IF(I120&gt;=2,"Yes","No")</x:f>
        <x:v>No</x:v>
      </x:c>
    </x:row>
    <x:row r="121">
      <x:c r="A121" s="14" t="n">
        <x:v>46392</x:v>
      </x:c>
      <x:c r="B121" s="16" t="str">
        <x:f>TEXT(A121,"ddd")</x:f>
        <x:v>Tue</x:v>
      </x:c>
      <x:c r="C121" s="16" t="n">
        <x:v>0</x:v>
      </x:c>
      <x:c r="D121" s="16" t="n">
        <x:v>0</x:v>
      </x:c>
      <x:c r="E121" s="16" t="n">
        <x:v>0</x:v>
      </x:c>
      <x:c r="F121" s="16" t="n">
        <x:v>0</x:v>
      </x:c>
      <x:c r="G121" s="16" t="n">
        <x:v>0</x:v>
      </x:c>
      <x:c r="H121" s="16" t="n">
        <x:f>SUM(C121:G121)</x:f>
        <x:v>0</x:v>
      </x:c>
      <x:c r="I121" s="35" t="n">
        <x:f>H121/60</x:f>
        <x:v>0</x:v>
      </x:c>
      <x:c r="J121" s="16" t="str">
        <x:f>IF(I121&gt;=2,"Yes","No")</x:f>
        <x:v>No</x:v>
      </x:c>
    </x:row>
    <x:row r="122">
      <x:c r="A122" s="14" t="n">
        <x:v>46393</x:v>
      </x:c>
      <x:c r="B122" s="16" t="str">
        <x:f>TEXT(A122,"ddd")</x:f>
        <x:v>Wed</x:v>
      </x:c>
      <x:c r="C122" s="16" t="n">
        <x:v>0</x:v>
      </x:c>
      <x:c r="D122" s="16" t="n">
        <x:v>0</x:v>
      </x:c>
      <x:c r="E122" s="16" t="n">
        <x:v>0</x:v>
      </x:c>
      <x:c r="F122" s="16" t="n">
        <x:v>0</x:v>
      </x:c>
      <x:c r="G122" s="16" t="n">
        <x:v>0</x:v>
      </x:c>
      <x:c r="H122" s="16" t="n">
        <x:f>SUM(C122:G122)</x:f>
        <x:v>0</x:v>
      </x:c>
      <x:c r="I122" s="35" t="n">
        <x:f>H122/60</x:f>
        <x:v>0</x:v>
      </x:c>
      <x:c r="J122" s="16" t="str">
        <x:f>IF(I122&gt;=2,"Yes","No")</x:f>
        <x:v>No</x:v>
      </x:c>
    </x:row>
    <x:row r="123">
      <x:c r="A123" s="14" t="n">
        <x:v>46394</x:v>
      </x:c>
      <x:c r="B123" s="16" t="str">
        <x:f>TEXT(A123,"ddd")</x:f>
        <x:v>Thu</x:v>
      </x:c>
      <x:c r="C123" s="16" t="n">
        <x:v>0</x:v>
      </x:c>
      <x:c r="D123" s="16" t="n">
        <x:v>0</x:v>
      </x:c>
      <x:c r="E123" s="16" t="n">
        <x:v>0</x:v>
      </x:c>
      <x:c r="F123" s="16" t="n">
        <x:v>0</x:v>
      </x:c>
      <x:c r="G123" s="16" t="n">
        <x:v>0</x:v>
      </x:c>
      <x:c r="H123" s="16" t="n">
        <x:f>SUM(C123:G123)</x:f>
        <x:v>0</x:v>
      </x:c>
      <x:c r="I123" s="35" t="n">
        <x:f>H123/60</x:f>
        <x:v>0</x:v>
      </x:c>
      <x:c r="J123" s="16" t="str">
        <x:f>IF(I123&gt;=2,"Yes","No")</x:f>
        <x:v>No</x:v>
      </x:c>
    </x:row>
    <x:row r="124">
      <x:c r="A124" s="14" t="n">
        <x:v>46395</x:v>
      </x:c>
      <x:c r="B124" s="16" t="str">
        <x:f>TEXT(A124,"ddd")</x:f>
        <x:v>Fri</x:v>
      </x:c>
      <x:c r="C124" s="16" t="n">
        <x:v>0</x:v>
      </x:c>
      <x:c r="D124" s="16" t="n">
        <x:v>0</x:v>
      </x:c>
      <x:c r="E124" s="16" t="n">
        <x:v>0</x:v>
      </x:c>
      <x:c r="F124" s="16" t="n">
        <x:v>0</x:v>
      </x:c>
      <x:c r="G124" s="16" t="n">
        <x:v>0</x:v>
      </x:c>
      <x:c r="H124" s="16" t="n">
        <x:f>SUM(C124:G124)</x:f>
        <x:v>0</x:v>
      </x:c>
      <x:c r="I124" s="35" t="n">
        <x:f>H124/60</x:f>
        <x:v>0</x:v>
      </x:c>
      <x:c r="J124" s="16" t="str">
        <x:f>IF(I124&gt;=2,"Yes","No")</x:f>
        <x:v>No</x:v>
      </x:c>
    </x:row>
    <x:row r="125">
      <x:c r="A125" s="14" t="n">
        <x:v>46396</x:v>
      </x:c>
      <x:c r="B125" s="16" t="str">
        <x:f>TEXT(A125,"ddd")</x:f>
        <x:v>Sat</x:v>
      </x:c>
      <x:c r="C125" s="16" t="n">
        <x:v>0</x:v>
      </x:c>
      <x:c r="D125" s="16" t="n">
        <x:v>0</x:v>
      </x:c>
      <x:c r="E125" s="16" t="n">
        <x:v>0</x:v>
      </x:c>
      <x:c r="F125" s="16" t="n">
        <x:v>0</x:v>
      </x:c>
      <x:c r="G125" s="16" t="n">
        <x:v>0</x:v>
      </x:c>
      <x:c r="H125" s="16" t="n">
        <x:f>SUM(C125:G125)</x:f>
        <x:v>0</x:v>
      </x:c>
      <x:c r="I125" s="35" t="n">
        <x:f>H125/60</x:f>
        <x:v>0</x:v>
      </x:c>
      <x:c r="J125" s="16" t="str">
        <x:f>IF(I125&gt;=2,"Yes","No")</x:f>
        <x:v>No</x:v>
      </x:c>
    </x:row>
    <x:row r="126">
      <x:c r="A126" s="14" t="n">
        <x:v>46397</x:v>
      </x:c>
      <x:c r="B126" s="16" t="str">
        <x:f>TEXT(A126,"ddd")</x:f>
        <x:v>Sun</x:v>
      </x:c>
      <x:c r="C126" s="16" t="n">
        <x:v>0</x:v>
      </x:c>
      <x:c r="D126" s="16" t="n">
        <x:v>0</x:v>
      </x:c>
      <x:c r="E126" s="16" t="n">
        <x:v>0</x:v>
      </x:c>
      <x:c r="F126" s="16" t="n">
        <x:v>0</x:v>
      </x:c>
      <x:c r="G126" s="16" t="n">
        <x:v>0</x:v>
      </x:c>
      <x:c r="H126" s="16" t="n">
        <x:f>SUM(C126:G126)</x:f>
        <x:v>0</x:v>
      </x:c>
      <x:c r="I126" s="35" t="n">
        <x:f>H126/60</x:f>
        <x:v>0</x:v>
      </x:c>
      <x:c r="J126" s="16" t="str">
        <x:f>IF(I126&gt;=2,"Yes","No")</x:f>
        <x:v>No</x:v>
      </x:c>
    </x:row>
    <x:row r="127">
      <x:c r="A127" s="14" t="n">
        <x:v>46398</x:v>
      </x:c>
      <x:c r="B127" s="16" t="str">
        <x:f>TEXT(A127,"ddd")</x:f>
        <x:v>Mon</x:v>
      </x:c>
      <x:c r="C127" s="16" t="n">
        <x:v>0</x:v>
      </x:c>
      <x:c r="D127" s="16" t="n">
        <x:v>0</x:v>
      </x:c>
      <x:c r="E127" s="16" t="n">
        <x:v>0</x:v>
      </x:c>
      <x:c r="F127" s="16" t="n">
        <x:v>0</x:v>
      </x:c>
      <x:c r="G127" s="16" t="n">
        <x:v>0</x:v>
      </x:c>
      <x:c r="H127" s="16" t="n">
        <x:f>SUM(C127:G127)</x:f>
        <x:v>0</x:v>
      </x:c>
      <x:c r="I127" s="35" t="n">
        <x:f>H127/60</x:f>
        <x:v>0</x:v>
      </x:c>
      <x:c r="J127" s="16" t="str">
        <x:f>IF(I127&gt;=2,"Yes","No")</x:f>
        <x:v>No</x:v>
      </x:c>
    </x:row>
    <x:row r="128">
      <x:c r="A128" s="14" t="n">
        <x:v>46399</x:v>
      </x:c>
      <x:c r="B128" s="16" t="str">
        <x:f>TEXT(A128,"ddd")</x:f>
        <x:v>Tue</x:v>
      </x:c>
      <x:c r="C128" s="16" t="n">
        <x:v>0</x:v>
      </x:c>
      <x:c r="D128" s="16" t="n">
        <x:v>0</x:v>
      </x:c>
      <x:c r="E128" s="16" t="n">
        <x:v>0</x:v>
      </x:c>
      <x:c r="F128" s="16" t="n">
        <x:v>0</x:v>
      </x:c>
      <x:c r="G128" s="16" t="n">
        <x:v>0</x:v>
      </x:c>
      <x:c r="H128" s="16" t="n">
        <x:f>SUM(C128:G128)</x:f>
        <x:v>0</x:v>
      </x:c>
      <x:c r="I128" s="35" t="n">
        <x:f>H128/60</x:f>
        <x:v>0</x:v>
      </x:c>
      <x:c r="J128" s="16" t="str">
        <x:f>IF(I128&gt;=2,"Yes","No")</x:f>
        <x:v>No</x:v>
      </x:c>
    </x:row>
    <x:row r="129">
      <x:c r="A129" s="14" t="n">
        <x:v>46400</x:v>
      </x:c>
      <x:c r="B129" s="16" t="str">
        <x:f>TEXT(A129,"ddd")</x:f>
        <x:v>Wed</x:v>
      </x:c>
      <x:c r="C129" s="16" t="n">
        <x:v>0</x:v>
      </x:c>
      <x:c r="D129" s="16" t="n">
        <x:v>0</x:v>
      </x:c>
      <x:c r="E129" s="16" t="n">
        <x:v>0</x:v>
      </x:c>
      <x:c r="F129" s="16" t="n">
        <x:v>0</x:v>
      </x:c>
      <x:c r="G129" s="16" t="n">
        <x:v>0</x:v>
      </x:c>
      <x:c r="H129" s="16" t="n">
        <x:f>SUM(C129:G129)</x:f>
        <x:v>0</x:v>
      </x:c>
      <x:c r="I129" s="35" t="n">
        <x:f>H129/60</x:f>
        <x:v>0</x:v>
      </x:c>
      <x:c r="J129" s="16" t="str">
        <x:f>IF(I129&gt;=2,"Yes","No")</x:f>
        <x:v>No</x:v>
      </x:c>
    </x:row>
    <x:row r="130">
      <x:c r="A130" s="14" t="n">
        <x:v>46401</x:v>
      </x:c>
      <x:c r="B130" s="16" t="str">
        <x:f>TEXT(A130,"ddd")</x:f>
        <x:v>Thu</x:v>
      </x:c>
      <x:c r="C130" s="16" t="n">
        <x:v>0</x:v>
      </x:c>
      <x:c r="D130" s="16" t="n">
        <x:v>0</x:v>
      </x:c>
      <x:c r="E130" s="16" t="n">
        <x:v>0</x:v>
      </x:c>
      <x:c r="F130" s="16" t="n">
        <x:v>0</x:v>
      </x:c>
      <x:c r="G130" s="16" t="n">
        <x:v>0</x:v>
      </x:c>
      <x:c r="H130" s="16" t="n">
        <x:f>SUM(C130:G130)</x:f>
        <x:v>0</x:v>
      </x:c>
      <x:c r="I130" s="35" t="n">
        <x:f>H130/60</x:f>
        <x:v>0</x:v>
      </x:c>
      <x:c r="J130" s="16" t="str">
        <x:f>IF(I130&gt;=2,"Yes","No")</x:f>
        <x:v>No</x:v>
      </x:c>
    </x:row>
    <x:row r="131">
      <x:c r="A131" s="14" t="n">
        <x:v>46402</x:v>
      </x:c>
      <x:c r="B131" s="16" t="str">
        <x:f>TEXT(A131,"ddd")</x:f>
        <x:v>Fri</x:v>
      </x:c>
      <x:c r="C131" s="16" t="n">
        <x:v>0</x:v>
      </x:c>
      <x:c r="D131" s="16" t="n">
        <x:v>0</x:v>
      </x:c>
      <x:c r="E131" s="16" t="n">
        <x:v>0</x:v>
      </x:c>
      <x:c r="F131" s="16" t="n">
        <x:v>0</x:v>
      </x:c>
      <x:c r="G131" s="16" t="n">
        <x:v>0</x:v>
      </x:c>
      <x:c r="H131" s="16" t="n">
        <x:f>SUM(C131:G131)</x:f>
        <x:v>0</x:v>
      </x:c>
      <x:c r="I131" s="35" t="n">
        <x:f>H131/60</x:f>
        <x:v>0</x:v>
      </x:c>
      <x:c r="J131" s="16" t="str">
        <x:f>IF(I131&gt;=2,"Yes","No")</x:f>
        <x:v>No</x:v>
      </x:c>
    </x:row>
    <x:row r="132">
      <x:c r="A132" s="14" t="n">
        <x:v>46403</x:v>
      </x:c>
      <x:c r="B132" s="16" t="str">
        <x:f>TEXT(A132,"ddd")</x:f>
        <x:v>Sat</x:v>
      </x:c>
      <x:c r="C132" s="16" t="n">
        <x:v>0</x:v>
      </x:c>
      <x:c r="D132" s="16" t="n">
        <x:v>0</x:v>
      </x:c>
      <x:c r="E132" s="16" t="n">
        <x:v>0</x:v>
      </x:c>
      <x:c r="F132" s="16" t="n">
        <x:v>0</x:v>
      </x:c>
      <x:c r="G132" s="16" t="n">
        <x:v>0</x:v>
      </x:c>
      <x:c r="H132" s="16" t="n">
        <x:f>SUM(C132:G132)</x:f>
        <x:v>0</x:v>
      </x:c>
      <x:c r="I132" s="35" t="n">
        <x:f>H132/60</x:f>
        <x:v>0</x:v>
      </x:c>
      <x:c r="J132" s="16" t="str">
        <x:f>IF(I132&gt;=2,"Yes","No")</x:f>
        <x:v>No</x:v>
      </x:c>
    </x:row>
    <x:row r="133">
      <x:c r="A133" s="14" t="n">
        <x:v>46404</x:v>
      </x:c>
      <x:c r="B133" s="16" t="str">
        <x:f>TEXT(A133,"ddd")</x:f>
        <x:v>Sun</x:v>
      </x:c>
      <x:c r="C133" s="16" t="n">
        <x:v>0</x:v>
      </x:c>
      <x:c r="D133" s="16" t="n">
        <x:v>0</x:v>
      </x:c>
      <x:c r="E133" s="16" t="n">
        <x:v>0</x:v>
      </x:c>
      <x:c r="F133" s="16" t="n">
        <x:v>0</x:v>
      </x:c>
      <x:c r="G133" s="16" t="n">
        <x:v>0</x:v>
      </x:c>
      <x:c r="H133" s="16" t="n">
        <x:f>SUM(C133:G133)</x:f>
        <x:v>0</x:v>
      </x:c>
      <x:c r="I133" s="35" t="n">
        <x:f>H133/60</x:f>
        <x:v>0</x:v>
      </x:c>
      <x:c r="J133" s="16" t="str">
        <x:f>IF(I133&gt;=2,"Yes","No")</x:f>
        <x:v>No</x:v>
      </x:c>
    </x:row>
    <x:row r="134">
      <x:c r="A134" s="14" t="n">
        <x:v>46405</x:v>
      </x:c>
      <x:c r="B134" s="16" t="str">
        <x:f>TEXT(A134,"ddd")</x:f>
        <x:v>Mon</x:v>
      </x:c>
      <x:c r="C134" s="16" t="n">
        <x:v>0</x:v>
      </x:c>
      <x:c r="D134" s="16" t="n">
        <x:v>0</x:v>
      </x:c>
      <x:c r="E134" s="16" t="n">
        <x:v>0</x:v>
      </x:c>
      <x:c r="F134" s="16" t="n">
        <x:v>0</x:v>
      </x:c>
      <x:c r="G134" s="16" t="n">
        <x:v>0</x:v>
      </x:c>
      <x:c r="H134" s="16" t="n">
        <x:f>SUM(C134:G134)</x:f>
        <x:v>0</x:v>
      </x:c>
      <x:c r="I134" s="35" t="n">
        <x:f>H134/60</x:f>
        <x:v>0</x:v>
      </x:c>
      <x:c r="J134" s="16" t="str">
        <x:f>IF(I134&gt;=2,"Yes","No")</x:f>
        <x:v>No</x:v>
      </x:c>
    </x:row>
    <x:row r="135">
      <x:c r="A135" s="14" t="n">
        <x:v>46406</x:v>
      </x:c>
      <x:c r="B135" s="16" t="str">
        <x:f>TEXT(A135,"ddd")</x:f>
        <x:v>Tue</x:v>
      </x:c>
      <x:c r="C135" s="16" t="n">
        <x:v>0</x:v>
      </x:c>
      <x:c r="D135" s="16" t="n">
        <x:v>0</x:v>
      </x:c>
      <x:c r="E135" s="16" t="n">
        <x:v>0</x:v>
      </x:c>
      <x:c r="F135" s="16" t="n">
        <x:v>0</x:v>
      </x:c>
      <x:c r="G135" s="16" t="n">
        <x:v>0</x:v>
      </x:c>
      <x:c r="H135" s="16" t="n">
        <x:f>SUM(C135:G135)</x:f>
        <x:v>0</x:v>
      </x:c>
      <x:c r="I135" s="35" t="n">
        <x:f>H135/60</x:f>
        <x:v>0</x:v>
      </x:c>
      <x:c r="J135" s="16" t="str">
        <x:f>IF(I135&gt;=2,"Yes","No")</x:f>
        <x:v>No</x:v>
      </x:c>
    </x:row>
    <x:row r="136">
      <x:c r="A136" s="14" t="n">
        <x:v>46407</x:v>
      </x:c>
      <x:c r="B136" s="16" t="str">
        <x:f>TEXT(A136,"ddd")</x:f>
        <x:v>Wed</x:v>
      </x:c>
      <x:c r="C136" s="16" t="n">
        <x:v>0</x:v>
      </x:c>
      <x:c r="D136" s="16" t="n">
        <x:v>0</x:v>
      </x:c>
      <x:c r="E136" s="16" t="n">
        <x:v>0</x:v>
      </x:c>
      <x:c r="F136" s="16" t="n">
        <x:v>0</x:v>
      </x:c>
      <x:c r="G136" s="16" t="n">
        <x:v>0</x:v>
      </x:c>
      <x:c r="H136" s="16" t="n">
        <x:f>SUM(C136:G136)</x:f>
        <x:v>0</x:v>
      </x:c>
      <x:c r="I136" s="35" t="n">
        <x:f>H136/60</x:f>
        <x:v>0</x:v>
      </x:c>
      <x:c r="J136" s="16" t="str">
        <x:f>IF(I136&gt;=2,"Yes","No")</x:f>
        <x:v>No</x:v>
      </x:c>
    </x:row>
    <x:row r="137">
      <x:c r="A137" s="14" t="n">
        <x:v>46408</x:v>
      </x:c>
      <x:c r="B137" s="16" t="str">
        <x:f>TEXT(A137,"ddd")</x:f>
        <x:v>Thu</x:v>
      </x:c>
      <x:c r="C137" s="16" t="n">
        <x:v>0</x:v>
      </x:c>
      <x:c r="D137" s="16" t="n">
        <x:v>0</x:v>
      </x:c>
      <x:c r="E137" s="16" t="n">
        <x:v>0</x:v>
      </x:c>
      <x:c r="F137" s="16" t="n">
        <x:v>0</x:v>
      </x:c>
      <x:c r="G137" s="16" t="n">
        <x:v>0</x:v>
      </x:c>
      <x:c r="H137" s="16" t="n">
        <x:f>SUM(C137:G137)</x:f>
        <x:v>0</x:v>
      </x:c>
      <x:c r="I137" s="35" t="n">
        <x:f>H137/60</x:f>
        <x:v>0</x:v>
      </x:c>
      <x:c r="J137" s="16" t="str">
        <x:f>IF(I137&gt;=2,"Yes","No")</x:f>
        <x:v>No</x:v>
      </x:c>
    </x:row>
    <x:row r="138">
      <x:c r="A138" s="14" t="n">
        <x:v>46409</x:v>
      </x:c>
      <x:c r="B138" s="16" t="str">
        <x:f>TEXT(A138,"ddd")</x:f>
        <x:v>Fri</x:v>
      </x:c>
      <x:c r="C138" s="16" t="n">
        <x:v>0</x:v>
      </x:c>
      <x:c r="D138" s="16" t="n">
        <x:v>0</x:v>
      </x:c>
      <x:c r="E138" s="16" t="n">
        <x:v>0</x:v>
      </x:c>
      <x:c r="F138" s="16" t="n">
        <x:v>0</x:v>
      </x:c>
      <x:c r="G138" s="16" t="n">
        <x:v>0</x:v>
      </x:c>
      <x:c r="H138" s="16" t="n">
        <x:f>SUM(C138:G138)</x:f>
        <x:v>0</x:v>
      </x:c>
      <x:c r="I138" s="35" t="n">
        <x:f>H138/60</x:f>
        <x:v>0</x:v>
      </x:c>
      <x:c r="J138" s="16" t="str">
        <x:f>IF(I138&gt;=2,"Yes","No")</x:f>
        <x:v>No</x:v>
      </x:c>
    </x:row>
    <x:row r="139">
      <x:c r="A139" s="14" t="n">
        <x:v>46410</x:v>
      </x:c>
      <x:c r="B139" s="16" t="str">
        <x:f>TEXT(A139,"ddd")</x:f>
        <x:v>Sat</x:v>
      </x:c>
      <x:c r="C139" s="16" t="n">
        <x:v>0</x:v>
      </x:c>
      <x:c r="D139" s="16" t="n">
        <x:v>0</x:v>
      </x:c>
      <x:c r="E139" s="16" t="n">
        <x:v>0</x:v>
      </x:c>
      <x:c r="F139" s="16" t="n">
        <x:v>0</x:v>
      </x:c>
      <x:c r="G139" s="16" t="n">
        <x:v>0</x:v>
      </x:c>
      <x:c r="H139" s="16" t="n">
        <x:f>SUM(C139:G139)</x:f>
        <x:v>0</x:v>
      </x:c>
      <x:c r="I139" s="35" t="n">
        <x:f>H139/60</x:f>
        <x:v>0</x:v>
      </x:c>
      <x:c r="J139" s="16" t="str">
        <x:f>IF(I139&gt;=2,"Yes","No")</x:f>
        <x:v>No</x:v>
      </x:c>
    </x:row>
    <x:row r="140">
      <x:c r="A140" s="14" t="n">
        <x:v>46411</x:v>
      </x:c>
      <x:c r="B140" s="16" t="str">
        <x:f>TEXT(A140,"ddd")</x:f>
        <x:v>Sun</x:v>
      </x:c>
      <x:c r="C140" s="16" t="n">
        <x:v>0</x:v>
      </x:c>
      <x:c r="D140" s="16" t="n">
        <x:v>0</x:v>
      </x:c>
      <x:c r="E140" s="16" t="n">
        <x:v>0</x:v>
      </x:c>
      <x:c r="F140" s="16" t="n">
        <x:v>0</x:v>
      </x:c>
      <x:c r="G140" s="16" t="n">
        <x:v>0</x:v>
      </x:c>
      <x:c r="H140" s="16" t="n">
        <x:f>SUM(C140:G140)</x:f>
        <x:v>0</x:v>
      </x:c>
      <x:c r="I140" s="35" t="n">
        <x:f>H140/60</x:f>
        <x:v>0</x:v>
      </x:c>
      <x:c r="J140" s="16" t="str">
        <x:f>IF(I140&gt;=2,"Yes","No")</x:f>
        <x:v>No</x:v>
      </x:c>
    </x:row>
    <x:row r="141">
      <x:c r="A141" s="14" t="n">
        <x:v>46412</x:v>
      </x:c>
      <x:c r="B141" s="16" t="str">
        <x:f>TEXT(A141,"ddd")</x:f>
        <x:v>Mon</x:v>
      </x:c>
      <x:c r="C141" s="16" t="n">
        <x:v>0</x:v>
      </x:c>
      <x:c r="D141" s="16" t="n">
        <x:v>0</x:v>
      </x:c>
      <x:c r="E141" s="16" t="n">
        <x:v>0</x:v>
      </x:c>
      <x:c r="F141" s="16" t="n">
        <x:v>0</x:v>
      </x:c>
      <x:c r="G141" s="16" t="n">
        <x:v>0</x:v>
      </x:c>
      <x:c r="H141" s="16" t="n">
        <x:f>SUM(C141:G141)</x:f>
        <x:v>0</x:v>
      </x:c>
      <x:c r="I141" s="35" t="n">
        <x:f>H141/60</x:f>
        <x:v>0</x:v>
      </x:c>
      <x:c r="J141" s="16" t="str">
        <x:f>IF(I141&gt;=2,"Yes","No")</x:f>
        <x:v>No</x:v>
      </x:c>
    </x:row>
    <x:row r="142">
      <x:c r="A142" s="14" t="n">
        <x:v>46413</x:v>
      </x:c>
      <x:c r="B142" s="16" t="str">
        <x:f>TEXT(A142,"ddd")</x:f>
        <x:v>Tue</x:v>
      </x:c>
      <x:c r="C142" s="16" t="n">
        <x:v>0</x:v>
      </x:c>
      <x:c r="D142" s="16" t="n">
        <x:v>0</x:v>
      </x:c>
      <x:c r="E142" s="16" t="n">
        <x:v>0</x:v>
      </x:c>
      <x:c r="F142" s="16" t="n">
        <x:v>0</x:v>
      </x:c>
      <x:c r="G142" s="16" t="n">
        <x:v>0</x:v>
      </x:c>
      <x:c r="H142" s="16" t="n">
        <x:f>SUM(C142:G142)</x:f>
        <x:v>0</x:v>
      </x:c>
      <x:c r="I142" s="35" t="n">
        <x:f>H142/60</x:f>
        <x:v>0</x:v>
      </x:c>
      <x:c r="J142" s="16" t="str">
        <x:f>IF(I142&gt;=2,"Yes","No")</x:f>
        <x:v>No</x:v>
      </x:c>
    </x:row>
    <x:row r="143">
      <x:c r="A143" s="14" t="n">
        <x:v>46414</x:v>
      </x:c>
      <x:c r="B143" s="16" t="str">
        <x:f>TEXT(A143,"ddd")</x:f>
        <x:v>Wed</x:v>
      </x:c>
      <x:c r="C143" s="16" t="n">
        <x:v>0</x:v>
      </x:c>
      <x:c r="D143" s="16" t="n">
        <x:v>0</x:v>
      </x:c>
      <x:c r="E143" s="16" t="n">
        <x:v>0</x:v>
      </x:c>
      <x:c r="F143" s="16" t="n">
        <x:v>0</x:v>
      </x:c>
      <x:c r="G143" s="16" t="n">
        <x:v>0</x:v>
      </x:c>
      <x:c r="H143" s="16" t="n">
        <x:f>SUM(C143:G143)</x:f>
        <x:v>0</x:v>
      </x:c>
      <x:c r="I143" s="35" t="n">
        <x:f>H143/60</x:f>
        <x:v>0</x:v>
      </x:c>
      <x:c r="J143" s="16" t="str">
        <x:f>IF(I143&gt;=2,"Yes","No")</x:f>
        <x:v>No</x:v>
      </x:c>
    </x:row>
    <x:row r="144">
      <x:c r="A144" s="14" t="n">
        <x:v>46415</x:v>
      </x:c>
      <x:c r="B144" s="16" t="str">
        <x:f>TEXT(A144,"ddd")</x:f>
        <x:v>Thu</x:v>
      </x:c>
      <x:c r="C144" s="16" t="n">
        <x:v>0</x:v>
      </x:c>
      <x:c r="D144" s="16" t="n">
        <x:v>0</x:v>
      </x:c>
      <x:c r="E144" s="16" t="n">
        <x:v>0</x:v>
      </x:c>
      <x:c r="F144" s="16" t="n">
        <x:v>0</x:v>
      </x:c>
      <x:c r="G144" s="16" t="n">
        <x:v>0</x:v>
      </x:c>
      <x:c r="H144" s="16" t="n">
        <x:f>SUM(C144:G144)</x:f>
        <x:v>0</x:v>
      </x:c>
      <x:c r="I144" s="35" t="n">
        <x:f>H144/60</x:f>
        <x:v>0</x:v>
      </x:c>
      <x:c r="J144" s="16" t="str">
        <x:f>IF(I144&gt;=2,"Yes","No")</x:f>
        <x:v>No</x:v>
      </x:c>
    </x:row>
    <x:row r="145">
      <x:c r="A145" s="14" t="n">
        <x:v>46416</x:v>
      </x:c>
      <x:c r="B145" s="16" t="str">
        <x:f>TEXT(A145,"ddd")</x:f>
        <x:v>Fri</x:v>
      </x:c>
      <x:c r="C145" s="16" t="n">
        <x:v>0</x:v>
      </x:c>
      <x:c r="D145" s="16" t="n">
        <x:v>0</x:v>
      </x:c>
      <x:c r="E145" s="16" t="n">
        <x:v>0</x:v>
      </x:c>
      <x:c r="F145" s="16" t="n">
        <x:v>0</x:v>
      </x:c>
      <x:c r="G145" s="16" t="n">
        <x:v>0</x:v>
      </x:c>
      <x:c r="H145" s="16" t="n">
        <x:f>SUM(C145:G145)</x:f>
        <x:v>0</x:v>
      </x:c>
      <x:c r="I145" s="35" t="n">
        <x:f>H145/60</x:f>
        <x:v>0</x:v>
      </x:c>
      <x:c r="J145" s="16" t="str">
        <x:f>IF(I145&gt;=2,"Yes","No")</x:f>
        <x:v>No</x:v>
      </x:c>
    </x:row>
    <x:row r="146">
      <x:c r="A146" s="14" t="n">
        <x:v>46417</x:v>
      </x:c>
      <x:c r="B146" s="16" t="str">
        <x:f>TEXT(A146,"ddd")</x:f>
        <x:v>Sat</x:v>
      </x:c>
      <x:c r="C146" s="16" t="n">
        <x:v>0</x:v>
      </x:c>
      <x:c r="D146" s="16" t="n">
        <x:v>0</x:v>
      </x:c>
      <x:c r="E146" s="16" t="n">
        <x:v>0</x:v>
      </x:c>
      <x:c r="F146" s="16" t="n">
        <x:v>0</x:v>
      </x:c>
      <x:c r="G146" s="16" t="n">
        <x:v>0</x:v>
      </x:c>
      <x:c r="H146" s="16" t="n">
        <x:f>SUM(C146:G146)</x:f>
        <x:v>0</x:v>
      </x:c>
      <x:c r="I146" s="35" t="n">
        <x:f>H146/60</x:f>
        <x:v>0</x:v>
      </x:c>
      <x:c r="J146" s="16" t="str">
        <x:f>IF(I146&gt;=2,"Yes","No")</x:f>
        <x:v>No</x:v>
      </x:c>
    </x:row>
    <x:row r="147">
      <x:c r="A147" s="14" t="n">
        <x:v>46418</x:v>
      </x:c>
      <x:c r="B147" s="16" t="str">
        <x:f>TEXT(A147,"ddd")</x:f>
        <x:v>Sun</x:v>
      </x:c>
      <x:c r="C147" s="16" t="n">
        <x:v>0</x:v>
      </x:c>
      <x:c r="D147" s="16" t="n">
        <x:v>0</x:v>
      </x:c>
      <x:c r="E147" s="16" t="n">
        <x:v>0</x:v>
      </x:c>
      <x:c r="F147" s="16" t="n">
        <x:v>0</x:v>
      </x:c>
      <x:c r="G147" s="16" t="n">
        <x:v>0</x:v>
      </x:c>
      <x:c r="H147" s="16" t="n">
        <x:f>SUM(C147:G147)</x:f>
        <x:v>0</x:v>
      </x:c>
      <x:c r="I147" s="35" t="n">
        <x:f>H147/60</x:f>
        <x:v>0</x:v>
      </x:c>
      <x:c r="J147" s="16" t="str">
        <x:f>IF(I147&gt;=2,"Yes","No")</x:f>
        <x:v>No</x:v>
      </x:c>
    </x:row>
    <x:row r="148">
      <x:c r="A148" s="14" t="n">
        <x:v>46419</x:v>
      </x:c>
      <x:c r="B148" s="16" t="str">
        <x:f>TEXT(A148,"ddd")</x:f>
        <x:v>Mon</x:v>
      </x:c>
      <x:c r="C148" s="16" t="n">
        <x:v>0</x:v>
      </x:c>
      <x:c r="D148" s="16" t="n">
        <x:v>0</x:v>
      </x:c>
      <x:c r="E148" s="16" t="n">
        <x:v>0</x:v>
      </x:c>
      <x:c r="F148" s="16" t="n">
        <x:v>0</x:v>
      </x:c>
      <x:c r="G148" s="16" t="n">
        <x:v>0</x:v>
      </x:c>
      <x:c r="H148" s="16" t="n">
        <x:f>SUM(C148:G148)</x:f>
        <x:v>0</x:v>
      </x:c>
      <x:c r="I148" s="35" t="n">
        <x:f>H148/60</x:f>
        <x:v>0</x:v>
      </x:c>
      <x:c r="J148" s="16" t="str">
        <x:f>IF(I148&gt;=2,"Yes","No")</x:f>
        <x:v>No</x:v>
      </x:c>
    </x:row>
    <x:row r="149">
      <x:c r="A149" s="14" t="n">
        <x:v>46420</x:v>
      </x:c>
      <x:c r="B149" s="16" t="str">
        <x:f>TEXT(A149,"ddd")</x:f>
        <x:v>Tue</x:v>
      </x:c>
      <x:c r="C149" s="16" t="n">
        <x:v>0</x:v>
      </x:c>
      <x:c r="D149" s="16" t="n">
        <x:v>0</x:v>
      </x:c>
      <x:c r="E149" s="16" t="n">
        <x:v>0</x:v>
      </x:c>
      <x:c r="F149" s="16" t="n">
        <x:v>0</x:v>
      </x:c>
      <x:c r="G149" s="16" t="n">
        <x:v>0</x:v>
      </x:c>
      <x:c r="H149" s="16" t="n">
        <x:f>SUM(C149:G149)</x:f>
        <x:v>0</x:v>
      </x:c>
      <x:c r="I149" s="35" t="n">
        <x:f>H149/60</x:f>
        <x:v>0</x:v>
      </x:c>
      <x:c r="J149" s="16" t="str">
        <x:f>IF(I149&gt;=2,"Yes","No")</x:f>
        <x:v>No</x:v>
      </x:c>
    </x:row>
    <x:row r="150">
      <x:c r="A150" s="14" t="n">
        <x:v>46421</x:v>
      </x:c>
      <x:c r="B150" s="16" t="str">
        <x:f>TEXT(A150,"ddd")</x:f>
        <x:v>Wed</x:v>
      </x:c>
      <x:c r="C150" s="16" t="n">
        <x:v>0</x:v>
      </x:c>
      <x:c r="D150" s="16" t="n">
        <x:v>0</x:v>
      </x:c>
      <x:c r="E150" s="16" t="n">
        <x:v>0</x:v>
      </x:c>
      <x:c r="F150" s="16" t="n">
        <x:v>0</x:v>
      </x:c>
      <x:c r="G150" s="16" t="n">
        <x:v>0</x:v>
      </x:c>
      <x:c r="H150" s="16" t="n">
        <x:f>SUM(C150:G150)</x:f>
        <x:v>0</x:v>
      </x:c>
      <x:c r="I150" s="35" t="n">
        <x:f>H150/60</x:f>
        <x:v>0</x:v>
      </x:c>
      <x:c r="J150" s="16" t="str">
        <x:f>IF(I150&gt;=2,"Yes","No")</x:f>
        <x:v>No</x:v>
      </x:c>
    </x:row>
    <x:row r="151">
      <x:c r="A151" s="14" t="n">
        <x:v>46422</x:v>
      </x:c>
      <x:c r="B151" s="16" t="str">
        <x:f>TEXT(A151,"ddd")</x:f>
        <x:v>Thu</x:v>
      </x:c>
      <x:c r="C151" s="16" t="n">
        <x:v>0</x:v>
      </x:c>
      <x:c r="D151" s="16" t="n">
        <x:v>0</x:v>
      </x:c>
      <x:c r="E151" s="16" t="n">
        <x:v>0</x:v>
      </x:c>
      <x:c r="F151" s="16" t="n">
        <x:v>0</x:v>
      </x:c>
      <x:c r="G151" s="16" t="n">
        <x:v>0</x:v>
      </x:c>
      <x:c r="H151" s="16" t="n">
        <x:f>SUM(C151:G151)</x:f>
        <x:v>0</x:v>
      </x:c>
      <x:c r="I151" s="35" t="n">
        <x:f>H151/60</x:f>
        <x:v>0</x:v>
      </x:c>
      <x:c r="J151" s="16" t="str">
        <x:f>IF(I151&gt;=2,"Yes","No")</x:f>
        <x:v>No</x:v>
      </x:c>
    </x:row>
    <x:row r="152">
      <x:c r="A152" s="14" t="n">
        <x:v>46423</x:v>
      </x:c>
      <x:c r="B152" s="16" t="str">
        <x:f>TEXT(A152,"ddd")</x:f>
        <x:v>Fri</x:v>
      </x:c>
      <x:c r="C152" s="16" t="n">
        <x:v>0</x:v>
      </x:c>
      <x:c r="D152" s="16" t="n">
        <x:v>0</x:v>
      </x:c>
      <x:c r="E152" s="16" t="n">
        <x:v>0</x:v>
      </x:c>
      <x:c r="F152" s="16" t="n">
        <x:v>0</x:v>
      </x:c>
      <x:c r="G152" s="16" t="n">
        <x:v>0</x:v>
      </x:c>
      <x:c r="H152" s="16" t="n">
        <x:f>SUM(C152:G152)</x:f>
        <x:v>0</x:v>
      </x:c>
      <x:c r="I152" s="35" t="n">
        <x:f>H152/60</x:f>
        <x:v>0</x:v>
      </x:c>
      <x:c r="J152" s="16" t="str">
        <x:f>IF(I152&gt;=2,"Yes","No")</x:f>
        <x:v>No</x:v>
      </x:c>
    </x:row>
    <x:row r="153">
      <x:c r="A153" s="14" t="n">
        <x:v>46424</x:v>
      </x:c>
      <x:c r="B153" s="16" t="str">
        <x:f>TEXT(A153,"ddd")</x:f>
        <x:v>Sat</x:v>
      </x:c>
      <x:c r="C153" s="16" t="n">
        <x:v>0</x:v>
      </x:c>
      <x:c r="D153" s="16" t="n">
        <x:v>0</x:v>
      </x:c>
      <x:c r="E153" s="16" t="n">
        <x:v>0</x:v>
      </x:c>
      <x:c r="F153" s="16" t="n">
        <x:v>0</x:v>
      </x:c>
      <x:c r="G153" s="16" t="n">
        <x:v>0</x:v>
      </x:c>
      <x:c r="H153" s="16" t="n">
        <x:f>SUM(C153:G153)</x:f>
        <x:v>0</x:v>
      </x:c>
      <x:c r="I153" s="35" t="n">
        <x:f>H153/60</x:f>
        <x:v>0</x:v>
      </x:c>
      <x:c r="J153" s="16" t="str">
        <x:f>IF(I153&gt;=2,"Yes","No")</x:f>
        <x:v>No</x:v>
      </x:c>
    </x:row>
    <x:row r="154">
      <x:c r="A154" s="14" t="n">
        <x:v>46425</x:v>
      </x:c>
      <x:c r="B154" s="16" t="str">
        <x:f>TEXT(A154,"ddd")</x:f>
        <x:v>Sun</x:v>
      </x:c>
      <x:c r="C154" s="16" t="n">
        <x:v>0</x:v>
      </x:c>
      <x:c r="D154" s="16" t="n">
        <x:v>0</x:v>
      </x:c>
      <x:c r="E154" s="16" t="n">
        <x:v>0</x:v>
      </x:c>
      <x:c r="F154" s="16" t="n">
        <x:v>0</x:v>
      </x:c>
      <x:c r="G154" s="16" t="n">
        <x:v>0</x:v>
      </x:c>
      <x:c r="H154" s="16" t="n">
        <x:f>SUM(C154:G154)</x:f>
        <x:v>0</x:v>
      </x:c>
      <x:c r="I154" s="35" t="n">
        <x:f>H154/60</x:f>
        <x:v>0</x:v>
      </x:c>
      <x:c r="J154" s="16" t="str">
        <x:f>IF(I154&gt;=2,"Yes","No")</x:f>
        <x:v>No</x:v>
      </x:c>
    </x:row>
    <x:row r="155">
      <x:c r="A155" s="14" t="n">
        <x:v>46426</x:v>
      </x:c>
      <x:c r="B155" s="16" t="str">
        <x:f>TEXT(A155,"ddd")</x:f>
        <x:v>Mon</x:v>
      </x:c>
      <x:c r="C155" s="16" t="n">
        <x:v>0</x:v>
      </x:c>
      <x:c r="D155" s="16" t="n">
        <x:v>0</x:v>
      </x:c>
      <x:c r="E155" s="16" t="n">
        <x:v>0</x:v>
      </x:c>
      <x:c r="F155" s="16" t="n">
        <x:v>0</x:v>
      </x:c>
      <x:c r="G155" s="16" t="n">
        <x:v>0</x:v>
      </x:c>
      <x:c r="H155" s="16" t="n">
        <x:f>SUM(C155:G155)</x:f>
        <x:v>0</x:v>
      </x:c>
      <x:c r="I155" s="35" t="n">
        <x:f>H155/60</x:f>
        <x:v>0</x:v>
      </x:c>
      <x:c r="J155" s="16" t="str">
        <x:f>IF(I155&gt;=2,"Yes","No")</x:f>
        <x:v>No</x:v>
      </x:c>
    </x:row>
    <x:row r="156">
      <x:c r="A156" s="14" t="n">
        <x:v>46427</x:v>
      </x:c>
      <x:c r="B156" s="16" t="str">
        <x:f>TEXT(A156,"ddd")</x:f>
        <x:v>Tue</x:v>
      </x:c>
      <x:c r="C156" s="16" t="n">
        <x:v>0</x:v>
      </x:c>
      <x:c r="D156" s="16" t="n">
        <x:v>0</x:v>
      </x:c>
      <x:c r="E156" s="16" t="n">
        <x:v>0</x:v>
      </x:c>
      <x:c r="F156" s="16" t="n">
        <x:v>0</x:v>
      </x:c>
      <x:c r="G156" s="16" t="n">
        <x:v>0</x:v>
      </x:c>
      <x:c r="H156" s="16" t="n">
        <x:f>SUM(C156:G156)</x:f>
        <x:v>0</x:v>
      </x:c>
      <x:c r="I156" s="35" t="n">
        <x:f>H156/60</x:f>
        <x:v>0</x:v>
      </x:c>
      <x:c r="J156" s="16" t="str">
        <x:f>IF(I156&gt;=2,"Yes","No")</x:f>
        <x:v>No</x:v>
      </x:c>
    </x:row>
    <x:row r="157">
      <x:c r="A157" s="14" t="n">
        <x:v>46428</x:v>
      </x:c>
      <x:c r="B157" s="16" t="str">
        <x:f>TEXT(A157,"ddd")</x:f>
        <x:v>Wed</x:v>
      </x:c>
      <x:c r="C157" s="16" t="n">
        <x:v>0</x:v>
      </x:c>
      <x:c r="D157" s="16" t="n">
        <x:v>0</x:v>
      </x:c>
      <x:c r="E157" s="16" t="n">
        <x:v>0</x:v>
      </x:c>
      <x:c r="F157" s="16" t="n">
        <x:v>0</x:v>
      </x:c>
      <x:c r="G157" s="16" t="n">
        <x:v>0</x:v>
      </x:c>
      <x:c r="H157" s="16" t="n">
        <x:f>SUM(C157:G157)</x:f>
        <x:v>0</x:v>
      </x:c>
      <x:c r="I157" s="35" t="n">
        <x:f>H157/60</x:f>
        <x:v>0</x:v>
      </x:c>
      <x:c r="J157" s="16" t="str">
        <x:f>IF(I157&gt;=2,"Yes","No")</x:f>
        <x:v>No</x:v>
      </x:c>
    </x:row>
    <x:row r="158">
      <x:c r="A158" s="14" t="n">
        <x:v>46429</x:v>
      </x:c>
      <x:c r="B158" s="16" t="str">
        <x:f>TEXT(A158,"ddd")</x:f>
        <x:v>Thu</x:v>
      </x:c>
      <x:c r="C158" s="16" t="n">
        <x:v>0</x:v>
      </x:c>
      <x:c r="D158" s="16" t="n">
        <x:v>0</x:v>
      </x:c>
      <x:c r="E158" s="16" t="n">
        <x:v>0</x:v>
      </x:c>
      <x:c r="F158" s="16" t="n">
        <x:v>0</x:v>
      </x:c>
      <x:c r="G158" s="16" t="n">
        <x:v>0</x:v>
      </x:c>
      <x:c r="H158" s="16" t="n">
        <x:f>SUM(C158:G158)</x:f>
        <x:v>0</x:v>
      </x:c>
      <x:c r="I158" s="35" t="n">
        <x:f>H158/60</x:f>
        <x:v>0</x:v>
      </x:c>
      <x:c r="J158" s="16" t="str">
        <x:f>IF(I158&gt;=2,"Yes","No")</x:f>
        <x:v>No</x:v>
      </x:c>
    </x:row>
    <x:row r="159">
      <x:c r="A159" s="14" t="n">
        <x:v>46430</x:v>
      </x:c>
      <x:c r="B159" s="16" t="str">
        <x:f>TEXT(A159,"ddd")</x:f>
        <x:v>Fri</x:v>
      </x:c>
      <x:c r="C159" s="16" t="n">
        <x:v>0</x:v>
      </x:c>
      <x:c r="D159" s="16" t="n">
        <x:v>0</x:v>
      </x:c>
      <x:c r="E159" s="16" t="n">
        <x:v>0</x:v>
      </x:c>
      <x:c r="F159" s="16" t="n">
        <x:v>0</x:v>
      </x:c>
      <x:c r="G159" s="16" t="n">
        <x:v>0</x:v>
      </x:c>
      <x:c r="H159" s="16" t="n">
        <x:f>SUM(C159:G159)</x:f>
        <x:v>0</x:v>
      </x:c>
      <x:c r="I159" s="35" t="n">
        <x:f>H159/60</x:f>
        <x:v>0</x:v>
      </x:c>
      <x:c r="J159" s="16" t="str">
        <x:f>IF(I159&gt;=2,"Yes","No")</x:f>
        <x:v>No</x:v>
      </x:c>
    </x:row>
    <x:row r="160">
      <x:c r="A160" s="14" t="n">
        <x:v>46431</x:v>
      </x:c>
      <x:c r="B160" s="16" t="str">
        <x:f>TEXT(A160,"ddd")</x:f>
        <x:v>Sat</x:v>
      </x:c>
      <x:c r="C160" s="16" t="n">
        <x:v>0</x:v>
      </x:c>
      <x:c r="D160" s="16" t="n">
        <x:v>0</x:v>
      </x:c>
      <x:c r="E160" s="16" t="n">
        <x:v>0</x:v>
      </x:c>
      <x:c r="F160" s="16" t="n">
        <x:v>0</x:v>
      </x:c>
      <x:c r="G160" s="16" t="n">
        <x:v>0</x:v>
      </x:c>
      <x:c r="H160" s="16" t="n">
        <x:f>SUM(C160:G160)</x:f>
        <x:v>0</x:v>
      </x:c>
      <x:c r="I160" s="35" t="n">
        <x:f>H160/60</x:f>
        <x:v>0</x:v>
      </x:c>
      <x:c r="J160" s="16" t="str">
        <x:f>IF(I160&gt;=2,"Yes","No")</x:f>
        <x:v>No</x:v>
      </x:c>
    </x:row>
    <x:row r="161">
      <x:c r="A161" s="14" t="n">
        <x:v>46432</x:v>
      </x:c>
      <x:c r="B161" s="16" t="str">
        <x:f>TEXT(A161,"ddd")</x:f>
        <x:v>Sun</x:v>
      </x:c>
      <x:c r="C161" s="16" t="n">
        <x:v>0</x:v>
      </x:c>
      <x:c r="D161" s="16" t="n">
        <x:v>0</x:v>
      </x:c>
      <x:c r="E161" s="16" t="n">
        <x:v>0</x:v>
      </x:c>
      <x:c r="F161" s="16" t="n">
        <x:v>0</x:v>
      </x:c>
      <x:c r="G161" s="16" t="n">
        <x:v>0</x:v>
      </x:c>
      <x:c r="H161" s="16" t="n">
        <x:f>SUM(C161:G161)</x:f>
        <x:v>0</x:v>
      </x:c>
      <x:c r="I161" s="35" t="n">
        <x:f>H161/60</x:f>
        <x:v>0</x:v>
      </x:c>
      <x:c r="J161" s="16" t="str">
        <x:f>IF(I161&gt;=2,"Yes","No")</x:f>
        <x:v>No</x:v>
      </x:c>
    </x:row>
    <x:row r="162">
      <x:c r="A162" s="14" t="n">
        <x:v>46433</x:v>
      </x:c>
      <x:c r="B162" s="16" t="str">
        <x:f>TEXT(A162,"ddd")</x:f>
        <x:v>Mon</x:v>
      </x:c>
      <x:c r="C162" s="16" t="n">
        <x:v>0</x:v>
      </x:c>
      <x:c r="D162" s="16" t="n">
        <x:v>0</x:v>
      </x:c>
      <x:c r="E162" s="16" t="n">
        <x:v>0</x:v>
      </x:c>
      <x:c r="F162" s="16" t="n">
        <x:v>0</x:v>
      </x:c>
      <x:c r="G162" s="16" t="n">
        <x:v>0</x:v>
      </x:c>
      <x:c r="H162" s="16" t="n">
        <x:f>SUM(C162:G162)</x:f>
        <x:v>0</x:v>
      </x:c>
      <x:c r="I162" s="35" t="n">
        <x:f>H162/60</x:f>
        <x:v>0</x:v>
      </x:c>
      <x:c r="J162" s="16" t="str">
        <x:f>IF(I162&gt;=2,"Yes","No")</x:f>
        <x:v>No</x:v>
      </x:c>
    </x:row>
    <x:row r="163">
      <x:c r="A163" s="14" t="n">
        <x:v>46434</x:v>
      </x:c>
      <x:c r="B163" s="16" t="str">
        <x:f>TEXT(A163,"ddd")</x:f>
        <x:v>Tue</x:v>
      </x:c>
      <x:c r="C163" s="16" t="n">
        <x:v>0</x:v>
      </x:c>
      <x:c r="D163" s="16" t="n">
        <x:v>0</x:v>
      </x:c>
      <x:c r="E163" s="16" t="n">
        <x:v>0</x:v>
      </x:c>
      <x:c r="F163" s="16" t="n">
        <x:v>0</x:v>
      </x:c>
      <x:c r="G163" s="16" t="n">
        <x:v>0</x:v>
      </x:c>
      <x:c r="H163" s="16" t="n">
        <x:f>SUM(C163:G163)</x:f>
        <x:v>0</x:v>
      </x:c>
      <x:c r="I163" s="35" t="n">
        <x:f>H163/60</x:f>
        <x:v>0</x:v>
      </x:c>
      <x:c r="J163" s="16" t="str">
        <x:f>IF(I163&gt;=2,"Yes","No")</x:f>
        <x:v>No</x:v>
      </x:c>
    </x:row>
    <x:row r="164">
      <x:c r="A164" s="14" t="n">
        <x:v>46435</x:v>
      </x:c>
      <x:c r="B164" s="16" t="str">
        <x:f>TEXT(A164,"ddd")</x:f>
        <x:v>Wed</x:v>
      </x:c>
      <x:c r="C164" s="16" t="n">
        <x:v>0</x:v>
      </x:c>
      <x:c r="D164" s="16" t="n">
        <x:v>0</x:v>
      </x:c>
      <x:c r="E164" s="16" t="n">
        <x:v>0</x:v>
      </x:c>
      <x:c r="F164" s="16" t="n">
        <x:v>0</x:v>
      </x:c>
      <x:c r="G164" s="16" t="n">
        <x:v>0</x:v>
      </x:c>
      <x:c r="H164" s="16" t="n">
        <x:f>SUM(C164:G164)</x:f>
        <x:v>0</x:v>
      </x:c>
      <x:c r="I164" s="35" t="n">
        <x:f>H164/60</x:f>
        <x:v>0</x:v>
      </x:c>
      <x:c r="J164" s="16" t="str">
        <x:f>IF(I164&gt;=2,"Yes","No")</x:f>
        <x:v>No</x:v>
      </x:c>
    </x:row>
    <x:row r="165">
      <x:c r="A165" s="14" t="n">
        <x:v>46436</x:v>
      </x:c>
      <x:c r="B165" s="16" t="str">
        <x:f>TEXT(A165,"ddd")</x:f>
        <x:v>Thu</x:v>
      </x:c>
      <x:c r="C165" s="16" t="n">
        <x:v>0</x:v>
      </x:c>
      <x:c r="D165" s="16" t="n">
        <x:v>0</x:v>
      </x:c>
      <x:c r="E165" s="16" t="n">
        <x:v>0</x:v>
      </x:c>
      <x:c r="F165" s="16" t="n">
        <x:v>0</x:v>
      </x:c>
      <x:c r="G165" s="16" t="n">
        <x:v>0</x:v>
      </x:c>
      <x:c r="H165" s="16" t="n">
        <x:f>SUM(C165:G165)</x:f>
        <x:v>0</x:v>
      </x:c>
      <x:c r="I165" s="35" t="n">
        <x:f>H165/60</x:f>
        <x:v>0</x:v>
      </x:c>
      <x:c r="J165" s="16" t="str">
        <x:f>IF(I165&gt;=2,"Yes","No")</x:f>
        <x:v>No</x:v>
      </x:c>
    </x:row>
    <x:row r="166">
      <x:c r="A166" s="14" t="n">
        <x:v>46437</x:v>
      </x:c>
      <x:c r="B166" s="16" t="str">
        <x:f>TEXT(A166,"ddd")</x:f>
        <x:v>Fri</x:v>
      </x:c>
      <x:c r="C166" s="16" t="n">
        <x:v>0</x:v>
      </x:c>
      <x:c r="D166" s="16" t="n">
        <x:v>0</x:v>
      </x:c>
      <x:c r="E166" s="16" t="n">
        <x:v>0</x:v>
      </x:c>
      <x:c r="F166" s="16" t="n">
        <x:v>0</x:v>
      </x:c>
      <x:c r="G166" s="16" t="n">
        <x:v>0</x:v>
      </x:c>
      <x:c r="H166" s="16" t="n">
        <x:f>SUM(C166:G166)</x:f>
        <x:v>0</x:v>
      </x:c>
      <x:c r="I166" s="35" t="n">
        <x:f>H166/60</x:f>
        <x:v>0</x:v>
      </x:c>
      <x:c r="J166" s="16" t="str">
        <x:f>IF(I166&gt;=2,"Yes","No")</x:f>
        <x:v>No</x:v>
      </x:c>
    </x:row>
    <x:row r="167">
      <x:c r="A167" s="14" t="n">
        <x:v>46438</x:v>
      </x:c>
      <x:c r="B167" s="16" t="str">
        <x:f>TEXT(A167,"ddd")</x:f>
        <x:v>Sat</x:v>
      </x:c>
      <x:c r="C167" s="16" t="n">
        <x:v>0</x:v>
      </x:c>
      <x:c r="D167" s="16" t="n">
        <x:v>0</x:v>
      </x:c>
      <x:c r="E167" s="16" t="n">
        <x:v>0</x:v>
      </x:c>
      <x:c r="F167" s="16" t="n">
        <x:v>0</x:v>
      </x:c>
      <x:c r="G167" s="16" t="n">
        <x:v>0</x:v>
      </x:c>
      <x:c r="H167" s="16" t="n">
        <x:f>SUM(C167:G167)</x:f>
        <x:v>0</x:v>
      </x:c>
      <x:c r="I167" s="35" t="n">
        <x:f>H167/60</x:f>
        <x:v>0</x:v>
      </x:c>
      <x:c r="J167" s="16" t="str">
        <x:f>IF(I167&gt;=2,"Yes","No")</x:f>
        <x:v>No</x:v>
      </x:c>
    </x:row>
    <x:row r="168">
      <x:c r="A168" s="14" t="n">
        <x:v>46439</x:v>
      </x:c>
      <x:c r="B168" s="16" t="str">
        <x:f>TEXT(A168,"ddd")</x:f>
        <x:v>Sun</x:v>
      </x:c>
      <x:c r="C168" s="16" t="n">
        <x:v>0</x:v>
      </x:c>
      <x:c r="D168" s="16" t="n">
        <x:v>0</x:v>
      </x:c>
      <x:c r="E168" s="16" t="n">
        <x:v>0</x:v>
      </x:c>
      <x:c r="F168" s="16" t="n">
        <x:v>0</x:v>
      </x:c>
      <x:c r="G168" s="16" t="n">
        <x:v>0</x:v>
      </x:c>
      <x:c r="H168" s="16" t="n">
        <x:f>SUM(C168:G168)</x:f>
        <x:v>0</x:v>
      </x:c>
      <x:c r="I168" s="35" t="n">
        <x:f>H168/60</x:f>
        <x:v>0</x:v>
      </x:c>
      <x:c r="J168" s="16" t="str">
        <x:f>IF(I168&gt;=2,"Yes","No")</x:f>
        <x:v>No</x:v>
      </x:c>
    </x:row>
    <x:row r="169">
      <x:c r="A169" s="14" t="n">
        <x:v>46440</x:v>
      </x:c>
      <x:c r="B169" s="16" t="str">
        <x:f>TEXT(A169,"ddd")</x:f>
        <x:v>Mon</x:v>
      </x:c>
      <x:c r="C169" s="16" t="n">
        <x:v>0</x:v>
      </x:c>
      <x:c r="D169" s="16" t="n">
        <x:v>0</x:v>
      </x:c>
      <x:c r="E169" s="16" t="n">
        <x:v>0</x:v>
      </x:c>
      <x:c r="F169" s="16" t="n">
        <x:v>0</x:v>
      </x:c>
      <x:c r="G169" s="16" t="n">
        <x:v>0</x:v>
      </x:c>
      <x:c r="H169" s="16" t="n">
        <x:f>SUM(C169:G169)</x:f>
        <x:v>0</x:v>
      </x:c>
      <x:c r="I169" s="35" t="n">
        <x:f>H169/60</x:f>
        <x:v>0</x:v>
      </x:c>
      <x:c r="J169" s="16" t="str">
        <x:f>IF(I169&gt;=2,"Yes","No")</x:f>
        <x:v>No</x:v>
      </x:c>
    </x:row>
    <x:row r="170">
      <x:c r="A170" s="14" t="n">
        <x:v>46441</x:v>
      </x:c>
      <x:c r="B170" s="16" t="str">
        <x:f>TEXT(A170,"ddd")</x:f>
        <x:v>Tue</x:v>
      </x:c>
      <x:c r="C170" s="16" t="n">
        <x:v>0</x:v>
      </x:c>
      <x:c r="D170" s="16" t="n">
        <x:v>0</x:v>
      </x:c>
      <x:c r="E170" s="16" t="n">
        <x:v>0</x:v>
      </x:c>
      <x:c r="F170" s="16" t="n">
        <x:v>0</x:v>
      </x:c>
      <x:c r="G170" s="16" t="n">
        <x:v>0</x:v>
      </x:c>
      <x:c r="H170" s="16" t="n">
        <x:f>SUM(C170:G170)</x:f>
        <x:v>0</x:v>
      </x:c>
      <x:c r="I170" s="35" t="n">
        <x:f>H170/60</x:f>
        <x:v>0</x:v>
      </x:c>
      <x:c r="J170" s="16" t="str">
        <x:f>IF(I170&gt;=2,"Yes","No")</x:f>
        <x:v>No</x:v>
      </x:c>
    </x:row>
    <x:row r="171">
      <x:c r="A171" s="14" t="n">
        <x:v>46442</x:v>
      </x:c>
      <x:c r="B171" s="16" t="str">
        <x:f>TEXT(A171,"ddd")</x:f>
        <x:v>Wed</x:v>
      </x:c>
      <x:c r="C171" s="16" t="n">
        <x:v>0</x:v>
      </x:c>
      <x:c r="D171" s="16" t="n">
        <x:v>0</x:v>
      </x:c>
      <x:c r="E171" s="16" t="n">
        <x:v>0</x:v>
      </x:c>
      <x:c r="F171" s="16" t="n">
        <x:v>0</x:v>
      </x:c>
      <x:c r="G171" s="16" t="n">
        <x:v>0</x:v>
      </x:c>
      <x:c r="H171" s="16" t="n">
        <x:f>SUM(C171:G171)</x:f>
        <x:v>0</x:v>
      </x:c>
      <x:c r="I171" s="35" t="n">
        <x:f>H171/60</x:f>
        <x:v>0</x:v>
      </x:c>
      <x:c r="J171" s="16" t="str">
        <x:f>IF(I171&gt;=2,"Yes","No")</x:f>
        <x:v>No</x:v>
      </x:c>
    </x:row>
    <x:row r="172">
      <x:c r="A172" s="14" t="n">
        <x:v>46443</x:v>
      </x:c>
      <x:c r="B172" s="16" t="str">
        <x:f>TEXT(A172,"ddd")</x:f>
        <x:v>Thu</x:v>
      </x:c>
      <x:c r="C172" s="16" t="n">
        <x:v>0</x:v>
      </x:c>
      <x:c r="D172" s="16" t="n">
        <x:v>0</x:v>
      </x:c>
      <x:c r="E172" s="16" t="n">
        <x:v>0</x:v>
      </x:c>
      <x:c r="F172" s="16" t="n">
        <x:v>0</x:v>
      </x:c>
      <x:c r="G172" s="16" t="n">
        <x:v>0</x:v>
      </x:c>
      <x:c r="H172" s="16" t="n">
        <x:f>SUM(C172:G172)</x:f>
        <x:v>0</x:v>
      </x:c>
      <x:c r="I172" s="35" t="n">
        <x:f>H172/60</x:f>
        <x:v>0</x:v>
      </x:c>
      <x:c r="J172" s="16" t="str">
        <x:f>IF(I172&gt;=2,"Yes","No")</x:f>
        <x:v>No</x:v>
      </x:c>
    </x:row>
    <x:row r="173">
      <x:c r="A173" s="14" t="n">
        <x:v>46444</x:v>
      </x:c>
      <x:c r="B173" s="16" t="str">
        <x:f>TEXT(A173,"ddd")</x:f>
        <x:v>Fri</x:v>
      </x:c>
      <x:c r="C173" s="16" t="n">
        <x:v>0</x:v>
      </x:c>
      <x:c r="D173" s="16" t="n">
        <x:v>0</x:v>
      </x:c>
      <x:c r="E173" s="16" t="n">
        <x:v>0</x:v>
      </x:c>
      <x:c r="F173" s="16" t="n">
        <x:v>0</x:v>
      </x:c>
      <x:c r="G173" s="16" t="n">
        <x:v>0</x:v>
      </x:c>
      <x:c r="H173" s="16" t="n">
        <x:f>SUM(C173:G173)</x:f>
        <x:v>0</x:v>
      </x:c>
      <x:c r="I173" s="35" t="n">
        <x:f>H173/60</x:f>
        <x:v>0</x:v>
      </x:c>
      <x:c r="J173" s="16" t="str">
        <x:f>IF(I173&gt;=2,"Yes","No")</x:f>
        <x:v>No</x:v>
      </x:c>
    </x:row>
    <x:row r="174">
      <x:c r="A174" s="14" t="n">
        <x:v>46445</x:v>
      </x:c>
      <x:c r="B174" s="16" t="str">
        <x:f>TEXT(A174,"ddd")</x:f>
        <x:v>Sat</x:v>
      </x:c>
      <x:c r="C174" s="16" t="n">
        <x:v>0</x:v>
      </x:c>
      <x:c r="D174" s="16" t="n">
        <x:v>0</x:v>
      </x:c>
      <x:c r="E174" s="16" t="n">
        <x:v>0</x:v>
      </x:c>
      <x:c r="F174" s="16" t="n">
        <x:v>0</x:v>
      </x:c>
      <x:c r="G174" s="16" t="n">
        <x:v>0</x:v>
      </x:c>
      <x:c r="H174" s="16" t="n">
        <x:f>SUM(C174:G174)</x:f>
        <x:v>0</x:v>
      </x:c>
      <x:c r="I174" s="35" t="n">
        <x:f>H174/60</x:f>
        <x:v>0</x:v>
      </x:c>
      <x:c r="J174" s="16" t="str">
        <x:f>IF(I174&gt;=2,"Yes","No")</x:f>
        <x:v>No</x:v>
      </x:c>
    </x:row>
    <x:row r="175">
      <x:c r="A175" s="14" t="n">
        <x:v>46446</x:v>
      </x:c>
      <x:c r="B175" s="16" t="str">
        <x:f>TEXT(A175,"ddd")</x:f>
        <x:v>Sun</x:v>
      </x:c>
      <x:c r="C175" s="16" t="n">
        <x:v>0</x:v>
      </x:c>
      <x:c r="D175" s="16" t="n">
        <x:v>0</x:v>
      </x:c>
      <x:c r="E175" s="16" t="n">
        <x:v>0</x:v>
      </x:c>
      <x:c r="F175" s="16" t="n">
        <x:v>0</x:v>
      </x:c>
      <x:c r="G175" s="16" t="n">
        <x:v>0</x:v>
      </x:c>
      <x:c r="H175" s="16" t="n">
        <x:f>SUM(C175:G175)</x:f>
        <x:v>0</x:v>
      </x:c>
      <x:c r="I175" s="35" t="n">
        <x:f>H175/60</x:f>
        <x:v>0</x:v>
      </x:c>
      <x:c r="J175" s="16" t="str">
        <x:f>IF(I175&gt;=2,"Yes","No")</x:f>
        <x:v>No</x:v>
      </x:c>
    </x:row>
    <x:row r="176">
      <x:c r="A176" s="14" t="n">
        <x:v>46447</x:v>
      </x:c>
      <x:c r="B176" s="16" t="str">
        <x:f>TEXT(A176,"ddd")</x:f>
        <x:v>Mon</x:v>
      </x:c>
      <x:c r="C176" s="16" t="n">
        <x:v>0</x:v>
      </x:c>
      <x:c r="D176" s="16" t="n">
        <x:v>0</x:v>
      </x:c>
      <x:c r="E176" s="16" t="n">
        <x:v>0</x:v>
      </x:c>
      <x:c r="F176" s="16" t="n">
        <x:v>0</x:v>
      </x:c>
      <x:c r="G176" s="16" t="n">
        <x:v>0</x:v>
      </x:c>
      <x:c r="H176" s="16" t="n">
        <x:f>SUM(C176:G176)</x:f>
        <x:v>0</x:v>
      </x:c>
      <x:c r="I176" s="35" t="n">
        <x:f>H176/60</x:f>
        <x:v>0</x:v>
      </x:c>
      <x:c r="J176" s="16" t="str">
        <x:f>IF(I176&gt;=2,"Yes","No")</x:f>
        <x:v>No</x:v>
      </x:c>
    </x:row>
    <x:row r="177">
      <x:c r="A177" s="14" t="n">
        <x:v>46448</x:v>
      </x:c>
      <x:c r="B177" s="16" t="str">
        <x:f>TEXT(A177,"ddd")</x:f>
        <x:v>Tue</x:v>
      </x:c>
      <x:c r="C177" s="16" t="n">
        <x:v>0</x:v>
      </x:c>
      <x:c r="D177" s="16" t="n">
        <x:v>0</x:v>
      </x:c>
      <x:c r="E177" s="16" t="n">
        <x:v>0</x:v>
      </x:c>
      <x:c r="F177" s="16" t="n">
        <x:v>0</x:v>
      </x:c>
      <x:c r="G177" s="16" t="n">
        <x:v>0</x:v>
      </x:c>
      <x:c r="H177" s="16" t="n">
        <x:f>SUM(C177:G177)</x:f>
        <x:v>0</x:v>
      </x:c>
      <x:c r="I177" s="35" t="n">
        <x:f>H177/60</x:f>
        <x:v>0</x:v>
      </x:c>
      <x:c r="J177" s="16" t="str">
        <x:f>IF(I177&gt;=2,"Yes","No")</x:f>
        <x:v>No</x:v>
      </x:c>
    </x:row>
    <x:row r="178">
      <x:c r="A178" s="14" t="n">
        <x:v>46449</x:v>
      </x:c>
      <x:c r="B178" s="16" t="str">
        <x:f>TEXT(A178,"ddd")</x:f>
        <x:v>Wed</x:v>
      </x:c>
      <x:c r="C178" s="16" t="n">
        <x:v>0</x:v>
      </x:c>
      <x:c r="D178" s="16" t="n">
        <x:v>0</x:v>
      </x:c>
      <x:c r="E178" s="16" t="n">
        <x:v>0</x:v>
      </x:c>
      <x:c r="F178" s="16" t="n">
        <x:v>0</x:v>
      </x:c>
      <x:c r="G178" s="16" t="n">
        <x:v>0</x:v>
      </x:c>
      <x:c r="H178" s="16" t="n">
        <x:f>SUM(C178:G178)</x:f>
        <x:v>0</x:v>
      </x:c>
      <x:c r="I178" s="35" t="n">
        <x:f>H178/60</x:f>
        <x:v>0</x:v>
      </x:c>
      <x:c r="J178" s="16" t="str">
        <x:f>IF(I178&gt;=2,"Yes","No")</x:f>
        <x:v>No</x:v>
      </x:c>
    </x:row>
    <x:row r="179">
      <x:c r="A179" s="14" t="n">
        <x:v>46450</x:v>
      </x:c>
      <x:c r="B179" s="16" t="str">
        <x:f>TEXT(A179,"ddd")</x:f>
        <x:v>Thu</x:v>
      </x:c>
      <x:c r="C179" s="16" t="n">
        <x:v>0</x:v>
      </x:c>
      <x:c r="D179" s="16" t="n">
        <x:v>0</x:v>
      </x:c>
      <x:c r="E179" s="16" t="n">
        <x:v>0</x:v>
      </x:c>
      <x:c r="F179" s="16" t="n">
        <x:v>0</x:v>
      </x:c>
      <x:c r="G179" s="16" t="n">
        <x:v>0</x:v>
      </x:c>
      <x:c r="H179" s="16" t="n">
        <x:f>SUM(C179:G179)</x:f>
        <x:v>0</x:v>
      </x:c>
      <x:c r="I179" s="35" t="n">
        <x:f>H179/60</x:f>
        <x:v>0</x:v>
      </x:c>
      <x:c r="J179" s="16" t="str">
        <x:f>IF(I179&gt;=2,"Yes","No")</x:f>
        <x:v>No</x:v>
      </x:c>
    </x:row>
    <x:row r="180">
      <x:c r="A180" s="14" t="n">
        <x:v>46451</x:v>
      </x:c>
      <x:c r="B180" s="16" t="str">
        <x:f>TEXT(A180,"ddd")</x:f>
        <x:v>Fri</x:v>
      </x:c>
      <x:c r="C180" s="16" t="n">
        <x:v>0</x:v>
      </x:c>
      <x:c r="D180" s="16" t="n">
        <x:v>0</x:v>
      </x:c>
      <x:c r="E180" s="16" t="n">
        <x:v>0</x:v>
      </x:c>
      <x:c r="F180" s="16" t="n">
        <x:v>0</x:v>
      </x:c>
      <x:c r="G180" s="16" t="n">
        <x:v>0</x:v>
      </x:c>
      <x:c r="H180" s="16" t="n">
        <x:f>SUM(C180:G180)</x:f>
        <x:v>0</x:v>
      </x:c>
      <x:c r="I180" s="35" t="n">
        <x:f>H180/60</x:f>
        <x:v>0</x:v>
      </x:c>
      <x:c r="J180" s="16" t="str">
        <x:f>IF(I180&gt;=2,"Yes","No")</x:f>
        <x:v>No</x:v>
      </x:c>
    </x:row>
    <x:row r="181">
      <x:c r="A181" s="14" t="n">
        <x:v>46452</x:v>
      </x:c>
      <x:c r="B181" s="16" t="str">
        <x:f>TEXT(A181,"ddd")</x:f>
        <x:v>Sat</x:v>
      </x:c>
      <x:c r="C181" s="16" t="n">
        <x:v>0</x:v>
      </x:c>
      <x:c r="D181" s="16" t="n">
        <x:v>0</x:v>
      </x:c>
      <x:c r="E181" s="16" t="n">
        <x:v>0</x:v>
      </x:c>
      <x:c r="F181" s="16" t="n">
        <x:v>0</x:v>
      </x:c>
      <x:c r="G181" s="16" t="n">
        <x:v>0</x:v>
      </x:c>
      <x:c r="H181" s="16" t="n">
        <x:f>SUM(C181:G181)</x:f>
        <x:v>0</x:v>
      </x:c>
      <x:c r="I181" s="35" t="n">
        <x:f>H181/60</x:f>
        <x:v>0</x:v>
      </x:c>
      <x:c r="J181" s="16" t="str">
        <x:f>IF(I181&gt;=2,"Yes","No")</x:f>
        <x:v>No</x:v>
      </x:c>
    </x:row>
    <x:row r="182">
      <x:c r="A182" s="14" t="n">
        <x:v>46453</x:v>
      </x:c>
      <x:c r="B182" s="16" t="str">
        <x:f>TEXT(A182,"ddd")</x:f>
        <x:v>Sun</x:v>
      </x:c>
      <x:c r="C182" s="16" t="n">
        <x:v>0</x:v>
      </x:c>
      <x:c r="D182" s="16" t="n">
        <x:v>0</x:v>
      </x:c>
      <x:c r="E182" s="16" t="n">
        <x:v>0</x:v>
      </x:c>
      <x:c r="F182" s="16" t="n">
        <x:v>0</x:v>
      </x:c>
      <x:c r="G182" s="16" t="n">
        <x:v>0</x:v>
      </x:c>
      <x:c r="H182" s="16" t="n">
        <x:f>SUM(C182:G182)</x:f>
        <x:v>0</x:v>
      </x:c>
      <x:c r="I182" s="35" t="n">
        <x:f>H182/60</x:f>
        <x:v>0</x:v>
      </x:c>
      <x:c r="J182" s="16" t="str">
        <x:f>IF(I182&gt;=2,"Yes","No")</x:f>
        <x:v>No</x:v>
      </x:c>
    </x:row>
    <x:row r="183">
      <x:c r="A183" s="14" t="n">
        <x:v>46454</x:v>
      </x:c>
      <x:c r="B183" s="16" t="str">
        <x:f>TEXT(A183,"ddd")</x:f>
        <x:v>Mon</x:v>
      </x:c>
      <x:c r="C183" s="16" t="n">
        <x:v>0</x:v>
      </x:c>
      <x:c r="D183" s="16" t="n">
        <x:v>0</x:v>
      </x:c>
      <x:c r="E183" s="16" t="n">
        <x:v>0</x:v>
      </x:c>
      <x:c r="F183" s="16" t="n">
        <x:v>0</x:v>
      </x:c>
      <x:c r="G183" s="16" t="n">
        <x:v>0</x:v>
      </x:c>
      <x:c r="H183" s="16" t="n">
        <x:f>SUM(C183:G183)</x:f>
        <x:v>0</x:v>
      </x:c>
      <x:c r="I183" s="35" t="n">
        <x:f>H183/60</x:f>
        <x:v>0</x:v>
      </x:c>
      <x:c r="J183" s="16" t="str">
        <x:f>IF(I183&gt;=2,"Yes","No")</x:f>
        <x:v>No</x:v>
      </x:c>
    </x:row>
    <x:row r="184">
      <x:c r="A184" s="14" t="n">
        <x:v>46455</x:v>
      </x:c>
      <x:c r="B184" s="16" t="str">
        <x:f>TEXT(A184,"ddd")</x:f>
        <x:v>Tue</x:v>
      </x:c>
      <x:c r="C184" s="16" t="n">
        <x:v>0</x:v>
      </x:c>
      <x:c r="D184" s="16" t="n">
        <x:v>0</x:v>
      </x:c>
      <x:c r="E184" s="16" t="n">
        <x:v>0</x:v>
      </x:c>
      <x:c r="F184" s="16" t="n">
        <x:v>0</x:v>
      </x:c>
      <x:c r="G184" s="16" t="n">
        <x:v>0</x:v>
      </x:c>
      <x:c r="H184" s="16" t="n">
        <x:f>SUM(C184:G184)</x:f>
        <x:v>0</x:v>
      </x:c>
      <x:c r="I184" s="35" t="n">
        <x:f>H184/60</x:f>
        <x:v>0</x:v>
      </x:c>
      <x:c r="J184" s="16" t="str">
        <x:f>IF(I184&gt;=2,"Yes","No")</x:f>
        <x:v>No</x:v>
      </x:c>
    </x:row>
    <x:row r="185">
      <x:c r="A185" s="14" t="n">
        <x:v>46456</x:v>
      </x:c>
      <x:c r="B185" s="16" t="str">
        <x:f>TEXT(A185,"ddd")</x:f>
        <x:v>Wed</x:v>
      </x:c>
      <x:c r="C185" s="16" t="n">
        <x:v>0</x:v>
      </x:c>
      <x:c r="D185" s="16" t="n">
        <x:v>0</x:v>
      </x:c>
      <x:c r="E185" s="16" t="n">
        <x:v>0</x:v>
      </x:c>
      <x:c r="F185" s="16" t="n">
        <x:v>0</x:v>
      </x:c>
      <x:c r="G185" s="16" t="n">
        <x:v>0</x:v>
      </x:c>
      <x:c r="H185" s="16" t="n">
        <x:f>SUM(C185:G185)</x:f>
        <x:v>0</x:v>
      </x:c>
      <x:c r="I185" s="35" t="n">
        <x:f>H185/60</x:f>
        <x:v>0</x:v>
      </x:c>
      <x:c r="J185" s="16" t="str">
        <x:f>IF(I185&gt;=2,"Yes","No")</x:f>
        <x:v>No</x:v>
      </x:c>
    </x:row>
    <x:row r="186">
      <x:c r="A186" s="14" t="n">
        <x:v>46457</x:v>
      </x:c>
      <x:c r="B186" s="16" t="str">
        <x:f>TEXT(A186,"ddd")</x:f>
        <x:v>Thu</x:v>
      </x:c>
      <x:c r="C186" s="16" t="n">
        <x:v>0</x:v>
      </x:c>
      <x:c r="D186" s="16" t="n">
        <x:v>0</x:v>
      </x:c>
      <x:c r="E186" s="16" t="n">
        <x:v>0</x:v>
      </x:c>
      <x:c r="F186" s="16" t="n">
        <x:v>0</x:v>
      </x:c>
      <x:c r="G186" s="16" t="n">
        <x:v>0</x:v>
      </x:c>
      <x:c r="H186" s="16" t="n">
        <x:f>SUM(C186:G186)</x:f>
        <x:v>0</x:v>
      </x:c>
      <x:c r="I186" s="35" t="n">
        <x:f>H186/60</x:f>
        <x:v>0</x:v>
      </x:c>
      <x:c r="J186" s="16" t="str">
        <x:f>IF(I186&gt;=2,"Yes","No")</x:f>
        <x:v>No</x:v>
      </x:c>
    </x:row>
    <x:row r="187">
      <x:c r="A187" s="14" t="n">
        <x:v>46458</x:v>
      </x:c>
      <x:c r="B187" s="16" t="str">
        <x:f>TEXT(A187,"ddd")</x:f>
        <x:v>Fri</x:v>
      </x:c>
      <x:c r="C187" s="16" t="n">
        <x:v>0</x:v>
      </x:c>
      <x:c r="D187" s="16" t="n">
        <x:v>0</x:v>
      </x:c>
      <x:c r="E187" s="16" t="n">
        <x:v>0</x:v>
      </x:c>
      <x:c r="F187" s="16" t="n">
        <x:v>0</x:v>
      </x:c>
      <x:c r="G187" s="16" t="n">
        <x:v>0</x:v>
      </x:c>
      <x:c r="H187" s="16" t="n">
        <x:f>SUM(C187:G187)</x:f>
        <x:v>0</x:v>
      </x:c>
      <x:c r="I187" s="35" t="n">
        <x:f>H187/60</x:f>
        <x:v>0</x:v>
      </x:c>
      <x:c r="J187" s="16" t="str">
        <x:f>IF(I187&gt;=2,"Yes","No")</x:f>
        <x:v>No</x:v>
      </x:c>
    </x:row>
    <x:row r="188">
      <x:c r="A188" s="14" t="n">
        <x:v>46459</x:v>
      </x:c>
      <x:c r="B188" s="16" t="str">
        <x:f>TEXT(A188,"ddd")</x:f>
        <x:v>Sat</x:v>
      </x:c>
      <x:c r="C188" s="16" t="n">
        <x:v>0</x:v>
      </x:c>
      <x:c r="D188" s="16" t="n">
        <x:v>0</x:v>
      </x:c>
      <x:c r="E188" s="16" t="n">
        <x:v>0</x:v>
      </x:c>
      <x:c r="F188" s="16" t="n">
        <x:v>0</x:v>
      </x:c>
      <x:c r="G188" s="16" t="n">
        <x:v>0</x:v>
      </x:c>
      <x:c r="H188" s="16" t="n">
        <x:f>SUM(C188:G188)</x:f>
        <x:v>0</x:v>
      </x:c>
      <x:c r="I188" s="35" t="n">
        <x:f>H188/60</x:f>
        <x:v>0</x:v>
      </x:c>
      <x:c r="J188" s="16" t="str">
        <x:f>IF(I188&gt;=2,"Yes","No")</x:f>
        <x:v>No</x:v>
      </x:c>
    </x:row>
    <x:row r="189">
      <x:c r="A189" s="14" t="n">
        <x:v>46460</x:v>
      </x:c>
      <x:c r="B189" s="16" t="str">
        <x:f>TEXT(A189,"ddd")</x:f>
        <x:v>Sun</x:v>
      </x:c>
      <x:c r="C189" s="16" t="n">
        <x:v>0</x:v>
      </x:c>
      <x:c r="D189" s="16" t="n">
        <x:v>0</x:v>
      </x:c>
      <x:c r="E189" s="16" t="n">
        <x:v>0</x:v>
      </x:c>
      <x:c r="F189" s="16" t="n">
        <x:v>0</x:v>
      </x:c>
      <x:c r="G189" s="16" t="n">
        <x:v>0</x:v>
      </x:c>
      <x:c r="H189" s="16" t="n">
        <x:f>SUM(C189:G189)</x:f>
        <x:v>0</x:v>
      </x:c>
      <x:c r="I189" s="35" t="n">
        <x:f>H189/60</x:f>
        <x:v>0</x:v>
      </x:c>
      <x:c r="J189" s="16" t="str">
        <x:f>IF(I189&gt;=2,"Yes","No")</x:f>
        <x:v>No</x:v>
      </x:c>
    </x:row>
    <x:row r="190">
      <x:c r="A190" s="14" t="n">
        <x:v>46461</x:v>
      </x:c>
      <x:c r="B190" s="16" t="str">
        <x:f>TEXT(A190,"ddd")</x:f>
        <x:v>Mon</x:v>
      </x:c>
      <x:c r="C190" s="16" t="n">
        <x:v>0</x:v>
      </x:c>
      <x:c r="D190" s="16" t="n">
        <x:v>0</x:v>
      </x:c>
      <x:c r="E190" s="16" t="n">
        <x:v>0</x:v>
      </x:c>
      <x:c r="F190" s="16" t="n">
        <x:v>0</x:v>
      </x:c>
      <x:c r="G190" s="16" t="n">
        <x:v>0</x:v>
      </x:c>
      <x:c r="H190" s="16" t="n">
        <x:f>SUM(C190:G190)</x:f>
        <x:v>0</x:v>
      </x:c>
      <x:c r="I190" s="35" t="n">
        <x:f>H190/60</x:f>
        <x:v>0</x:v>
      </x:c>
      <x:c r="J190" s="16" t="str">
        <x:f>IF(I190&gt;=2,"Yes","No")</x:f>
        <x:v>No</x:v>
      </x:c>
    </x:row>
    <x:row r="191">
      <x:c r="A191" s="14" t="n">
        <x:v>46462</x:v>
      </x:c>
      <x:c r="B191" s="16" t="str">
        <x:f>TEXT(A191,"ddd")</x:f>
        <x:v>Tue</x:v>
      </x:c>
      <x:c r="C191" s="16" t="n">
        <x:v>0</x:v>
      </x:c>
      <x:c r="D191" s="16" t="n">
        <x:v>0</x:v>
      </x:c>
      <x:c r="E191" s="16" t="n">
        <x:v>0</x:v>
      </x:c>
      <x:c r="F191" s="16" t="n">
        <x:v>0</x:v>
      </x:c>
      <x:c r="G191" s="16" t="n">
        <x:v>0</x:v>
      </x:c>
      <x:c r="H191" s="16" t="n">
        <x:f>SUM(C191:G191)</x:f>
        <x:v>0</x:v>
      </x:c>
      <x:c r="I191" s="35" t="n">
        <x:f>H191/60</x:f>
        <x:v>0</x:v>
      </x:c>
      <x:c r="J191" s="16" t="str">
        <x:f>IF(I191&gt;=2,"Yes","No")</x:f>
        <x:v>No</x:v>
      </x:c>
    </x:row>
    <x:row r="192">
      <x:c r="A192" s="14" t="n">
        <x:v>46463</x:v>
      </x:c>
      <x:c r="B192" s="16" t="str">
        <x:f>TEXT(A192,"ddd")</x:f>
        <x:v>Wed</x:v>
      </x:c>
      <x:c r="C192" s="16" t="n">
        <x:v>0</x:v>
      </x:c>
      <x:c r="D192" s="16" t="n">
        <x:v>0</x:v>
      </x:c>
      <x:c r="E192" s="16" t="n">
        <x:v>0</x:v>
      </x:c>
      <x:c r="F192" s="16" t="n">
        <x:v>0</x:v>
      </x:c>
      <x:c r="G192" s="16" t="n">
        <x:v>0</x:v>
      </x:c>
      <x:c r="H192" s="16" t="n">
        <x:f>SUM(C192:G192)</x:f>
        <x:v>0</x:v>
      </x:c>
      <x:c r="I192" s="35" t="n">
        <x:f>H192/60</x:f>
        <x:v>0</x:v>
      </x:c>
      <x:c r="J192" s="16" t="str">
        <x:f>IF(I192&gt;=2,"Yes","No")</x:f>
        <x:v>No</x:v>
      </x:c>
    </x:row>
    <x:row r="193">
      <x:c r="A193" s="14" t="n">
        <x:v>46464</x:v>
      </x:c>
      <x:c r="B193" s="16" t="str">
        <x:f>TEXT(A193,"ddd")</x:f>
        <x:v>Thu</x:v>
      </x:c>
      <x:c r="C193" s="16" t="n">
        <x:v>0</x:v>
      </x:c>
      <x:c r="D193" s="16" t="n">
        <x:v>0</x:v>
      </x:c>
      <x:c r="E193" s="16" t="n">
        <x:v>0</x:v>
      </x:c>
      <x:c r="F193" s="16" t="n">
        <x:v>0</x:v>
      </x:c>
      <x:c r="G193" s="16" t="n">
        <x:v>0</x:v>
      </x:c>
      <x:c r="H193" s="16" t="n">
        <x:f>SUM(C193:G193)</x:f>
        <x:v>0</x:v>
      </x:c>
      <x:c r="I193" s="35" t="n">
        <x:f>H193/60</x:f>
        <x:v>0</x:v>
      </x:c>
      <x:c r="J193" s="16" t="str">
        <x:f>IF(I193&gt;=2,"Yes","No")</x:f>
        <x:v>No</x:v>
      </x:c>
    </x:row>
    <x:row r="194">
      <x:c r="A194" s="14" t="n">
        <x:v>46465</x:v>
      </x:c>
      <x:c r="B194" s="16" t="str">
        <x:f>TEXT(A194,"ddd")</x:f>
        <x:v>Fri</x:v>
      </x:c>
      <x:c r="C194" s="16" t="n">
        <x:v>0</x:v>
      </x:c>
      <x:c r="D194" s="16" t="n">
        <x:v>0</x:v>
      </x:c>
      <x:c r="E194" s="16" t="n">
        <x:v>0</x:v>
      </x:c>
      <x:c r="F194" s="16" t="n">
        <x:v>0</x:v>
      </x:c>
      <x:c r="G194" s="16" t="n">
        <x:v>0</x:v>
      </x:c>
      <x:c r="H194" s="16" t="n">
        <x:f>SUM(C194:G194)</x:f>
        <x:v>0</x:v>
      </x:c>
      <x:c r="I194" s="35" t="n">
        <x:f>H194/60</x:f>
        <x:v>0</x:v>
      </x:c>
      <x:c r="J194" s="16" t="str">
        <x:f>IF(I194&gt;=2,"Yes","No")</x:f>
        <x:v>No</x:v>
      </x:c>
    </x:row>
    <x:row r="195">
      <x:c r="A195" s="14" t="n">
        <x:v>46466</x:v>
      </x:c>
      <x:c r="B195" s="16" t="str">
        <x:f>TEXT(A195,"ddd")</x:f>
        <x:v>Sat</x:v>
      </x:c>
      <x:c r="C195" s="16" t="n">
        <x:v>0</x:v>
      </x:c>
      <x:c r="D195" s="16" t="n">
        <x:v>0</x:v>
      </x:c>
      <x:c r="E195" s="16" t="n">
        <x:v>0</x:v>
      </x:c>
      <x:c r="F195" s="16" t="n">
        <x:v>0</x:v>
      </x:c>
      <x:c r="G195" s="16" t="n">
        <x:v>0</x:v>
      </x:c>
      <x:c r="H195" s="16" t="n">
        <x:f>SUM(C195:G195)</x:f>
        <x:v>0</x:v>
      </x:c>
      <x:c r="I195" s="35" t="n">
        <x:f>H195/60</x:f>
        <x:v>0</x:v>
      </x:c>
      <x:c r="J195" s="16" t="str">
        <x:f>IF(I195&gt;=2,"Yes","No")</x:f>
        <x:v>No</x:v>
      </x:c>
    </x:row>
    <x:row r="196">
      <x:c r="A196" s="14" t="n">
        <x:v>46467</x:v>
      </x:c>
      <x:c r="B196" s="16" t="str">
        <x:f>TEXT(A196,"ddd")</x:f>
        <x:v>Sun</x:v>
      </x:c>
      <x:c r="C196" s="16" t="n">
        <x:v>0</x:v>
      </x:c>
      <x:c r="D196" s="16" t="n">
        <x:v>0</x:v>
      </x:c>
      <x:c r="E196" s="16" t="n">
        <x:v>0</x:v>
      </x:c>
      <x:c r="F196" s="16" t="n">
        <x:v>0</x:v>
      </x:c>
      <x:c r="G196" s="16" t="n">
        <x:v>0</x:v>
      </x:c>
      <x:c r="H196" s="16" t="n">
        <x:f>SUM(C196:G196)</x:f>
        <x:v>0</x:v>
      </x:c>
      <x:c r="I196" s="35" t="n">
        <x:f>H196/60</x:f>
        <x:v>0</x:v>
      </x:c>
      <x:c r="J196" s="16" t="str">
        <x:f>IF(I196&gt;=2,"Yes","No")</x:f>
        <x:v>No</x:v>
      </x:c>
    </x:row>
    <x:row r="197">
      <x:c r="A197" s="14" t="n">
        <x:v>46468</x:v>
      </x:c>
      <x:c r="B197" s="16" t="str">
        <x:f>TEXT(A197,"ddd")</x:f>
        <x:v>Mon</x:v>
      </x:c>
      <x:c r="C197" s="16" t="n">
        <x:v>0</x:v>
      </x:c>
      <x:c r="D197" s="16" t="n">
        <x:v>0</x:v>
      </x:c>
      <x:c r="E197" s="16" t="n">
        <x:v>0</x:v>
      </x:c>
      <x:c r="F197" s="16" t="n">
        <x:v>0</x:v>
      </x:c>
      <x:c r="G197" s="16" t="n">
        <x:v>0</x:v>
      </x:c>
      <x:c r="H197" s="16" t="n">
        <x:f>SUM(C197:G197)</x:f>
        <x:v>0</x:v>
      </x:c>
      <x:c r="I197" s="35" t="n">
        <x:f>H197/60</x:f>
        <x:v>0</x:v>
      </x:c>
      <x:c r="J197" s="16" t="str">
        <x:f>IF(I197&gt;=2,"Yes","No")</x:f>
        <x:v>No</x:v>
      </x:c>
    </x:row>
    <x:row r="198">
      <x:c r="A198" s="14" t="n">
        <x:v>46469</x:v>
      </x:c>
      <x:c r="B198" s="16" t="str">
        <x:f>TEXT(A198,"ddd")</x:f>
        <x:v>Tue</x:v>
      </x:c>
      <x:c r="C198" s="16" t="n">
        <x:v>0</x:v>
      </x:c>
      <x:c r="D198" s="16" t="n">
        <x:v>0</x:v>
      </x:c>
      <x:c r="E198" s="16" t="n">
        <x:v>0</x:v>
      </x:c>
      <x:c r="F198" s="16" t="n">
        <x:v>0</x:v>
      </x:c>
      <x:c r="G198" s="16" t="n">
        <x:v>0</x:v>
      </x:c>
      <x:c r="H198" s="16" t="n">
        <x:f>SUM(C198:G198)</x:f>
        <x:v>0</x:v>
      </x:c>
      <x:c r="I198" s="35" t="n">
        <x:f>H198/60</x:f>
        <x:v>0</x:v>
      </x:c>
      <x:c r="J198" s="16" t="str">
        <x:f>IF(I198&gt;=2,"Yes","No")</x:f>
        <x:v>No</x:v>
      </x:c>
    </x:row>
    <x:row r="199">
      <x:c r="A199" s="14" t="n">
        <x:v>46470</x:v>
      </x:c>
      <x:c r="B199" s="16" t="str">
        <x:f>TEXT(A199,"ddd")</x:f>
        <x:v>Wed</x:v>
      </x:c>
      <x:c r="C199" s="16" t="n">
        <x:v>0</x:v>
      </x:c>
      <x:c r="D199" s="16" t="n">
        <x:v>0</x:v>
      </x:c>
      <x:c r="E199" s="16" t="n">
        <x:v>0</x:v>
      </x:c>
      <x:c r="F199" s="16" t="n">
        <x:v>0</x:v>
      </x:c>
      <x:c r="G199" s="16" t="n">
        <x:v>0</x:v>
      </x:c>
      <x:c r="H199" s="16" t="n">
        <x:f>SUM(C199:G199)</x:f>
        <x:v>0</x:v>
      </x:c>
      <x:c r="I199" s="35" t="n">
        <x:f>H199/60</x:f>
        <x:v>0</x:v>
      </x:c>
      <x:c r="J199" s="16" t="str">
        <x:f>IF(I199&gt;=2,"Yes","No")</x:f>
        <x:v>No</x:v>
      </x:c>
    </x:row>
    <x:row r="200">
      <x:c r="A200" s="14" t="n">
        <x:v>46471</x:v>
      </x:c>
      <x:c r="B200" s="16" t="str">
        <x:f>TEXT(A200,"ddd")</x:f>
        <x:v>Thu</x:v>
      </x:c>
      <x:c r="C200" s="16" t="n">
        <x:v>0</x:v>
      </x:c>
      <x:c r="D200" s="16" t="n">
        <x:v>0</x:v>
      </x:c>
      <x:c r="E200" s="16" t="n">
        <x:v>0</x:v>
      </x:c>
      <x:c r="F200" s="16" t="n">
        <x:v>0</x:v>
      </x:c>
      <x:c r="G200" s="16" t="n">
        <x:v>0</x:v>
      </x:c>
      <x:c r="H200" s="16" t="n">
        <x:f>SUM(C200:G200)</x:f>
        <x:v>0</x:v>
      </x:c>
      <x:c r="I200" s="35" t="n">
        <x:f>H200/60</x:f>
        <x:v>0</x:v>
      </x:c>
      <x:c r="J200" s="16" t="str">
        <x:f>IF(I200&gt;=2,"Yes","No")</x:f>
        <x:v>No</x:v>
      </x:c>
    </x:row>
    <x:row r="201">
      <x:c r="A201" s="14" t="n">
        <x:v>46472</x:v>
      </x:c>
      <x:c r="B201" s="16" t="str">
        <x:f>TEXT(A201,"ddd")</x:f>
        <x:v>Fri</x:v>
      </x:c>
      <x:c r="C201" s="16" t="n">
        <x:v>0</x:v>
      </x:c>
      <x:c r="D201" s="16" t="n">
        <x:v>0</x:v>
      </x:c>
      <x:c r="E201" s="16" t="n">
        <x:v>0</x:v>
      </x:c>
      <x:c r="F201" s="16" t="n">
        <x:v>0</x:v>
      </x:c>
      <x:c r="G201" s="16" t="n">
        <x:v>0</x:v>
      </x:c>
      <x:c r="H201" s="16" t="n">
        <x:f>SUM(C201:G201)</x:f>
        <x:v>0</x:v>
      </x:c>
      <x:c r="I201" s="35" t="n">
        <x:f>H201/60</x:f>
        <x:v>0</x:v>
      </x:c>
      <x:c r="J201" s="16" t="str">
        <x:f>IF(I201&gt;=2,"Yes","No")</x:f>
        <x:v>No</x:v>
      </x:c>
    </x:row>
    <x:row r="202">
      <x:c r="A202" s="14" t="n">
        <x:v>46473</x:v>
      </x:c>
      <x:c r="B202" s="16" t="str">
        <x:f>TEXT(A202,"ddd")</x:f>
        <x:v>Sat</x:v>
      </x:c>
      <x:c r="C202" s="16" t="n">
        <x:v>0</x:v>
      </x:c>
      <x:c r="D202" s="16" t="n">
        <x:v>0</x:v>
      </x:c>
      <x:c r="E202" s="16" t="n">
        <x:v>0</x:v>
      </x:c>
      <x:c r="F202" s="16" t="n">
        <x:v>0</x:v>
      </x:c>
      <x:c r="G202" s="16" t="n">
        <x:v>0</x:v>
      </x:c>
      <x:c r="H202" s="16" t="n">
        <x:f>SUM(C202:G202)</x:f>
        <x:v>0</x:v>
      </x:c>
      <x:c r="I202" s="35" t="n">
        <x:f>H202/60</x:f>
        <x:v>0</x:v>
      </x:c>
      <x:c r="J202" s="16" t="str">
        <x:f>IF(I202&gt;=2,"Yes","No")</x:f>
        <x:v>No</x:v>
      </x:c>
    </x:row>
    <x:row r="203">
      <x:c r="A203" s="14" t="n">
        <x:v>46474</x:v>
      </x:c>
      <x:c r="B203" s="16" t="str">
        <x:f>TEXT(A203,"ddd")</x:f>
        <x:v>Sun</x:v>
      </x:c>
      <x:c r="C203" s="16" t="n">
        <x:v>0</x:v>
      </x:c>
      <x:c r="D203" s="16" t="n">
        <x:v>0</x:v>
      </x:c>
      <x:c r="E203" s="16" t="n">
        <x:v>0</x:v>
      </x:c>
      <x:c r="F203" s="16" t="n">
        <x:v>0</x:v>
      </x:c>
      <x:c r="G203" s="16" t="n">
        <x:v>0</x:v>
      </x:c>
      <x:c r="H203" s="16" t="n">
        <x:f>SUM(C203:G203)</x:f>
        <x:v>0</x:v>
      </x:c>
      <x:c r="I203" s="35" t="n">
        <x:f>H203/60</x:f>
        <x:v>0</x:v>
      </x:c>
      <x:c r="J203" s="16" t="str">
        <x:f>IF(I203&gt;=2,"Yes","No")</x:f>
        <x:v>No</x:v>
      </x:c>
    </x:row>
    <x:row r="204">
      <x:c r="A204" s="14" t="n">
        <x:v>46475</x:v>
      </x:c>
      <x:c r="B204" s="16" t="str">
        <x:f>TEXT(A204,"ddd")</x:f>
        <x:v>Mon</x:v>
      </x:c>
      <x:c r="C204" s="16" t="n">
        <x:v>0</x:v>
      </x:c>
      <x:c r="D204" s="16" t="n">
        <x:v>0</x:v>
      </x:c>
      <x:c r="E204" s="16" t="n">
        <x:v>0</x:v>
      </x:c>
      <x:c r="F204" s="16" t="n">
        <x:v>0</x:v>
      </x:c>
      <x:c r="G204" s="16" t="n">
        <x:v>0</x:v>
      </x:c>
      <x:c r="H204" s="16" t="n">
        <x:f>SUM(C204:G204)</x:f>
        <x:v>0</x:v>
      </x:c>
      <x:c r="I204" s="35" t="n">
        <x:f>H204/60</x:f>
        <x:v>0</x:v>
      </x:c>
      <x:c r="J204" s="16" t="str">
        <x:f>IF(I204&gt;=2,"Yes","No")</x:f>
        <x:v>No</x:v>
      </x:c>
    </x:row>
    <x:row r="205">
      <x:c r="A205" s="14" t="n">
        <x:v>46476</x:v>
      </x:c>
      <x:c r="B205" s="16" t="str">
        <x:f>TEXT(A205,"ddd")</x:f>
        <x:v>Tue</x:v>
      </x:c>
      <x:c r="C205" s="16" t="n">
        <x:v>0</x:v>
      </x:c>
      <x:c r="D205" s="16" t="n">
        <x:v>0</x:v>
      </x:c>
      <x:c r="E205" s="16" t="n">
        <x:v>0</x:v>
      </x:c>
      <x:c r="F205" s="16" t="n">
        <x:v>0</x:v>
      </x:c>
      <x:c r="G205" s="16" t="n">
        <x:v>0</x:v>
      </x:c>
      <x:c r="H205" s="16" t="n">
        <x:f>SUM(C205:G205)</x:f>
        <x:v>0</x:v>
      </x:c>
      <x:c r="I205" s="35" t="n">
        <x:f>H205/60</x:f>
        <x:v>0</x:v>
      </x:c>
      <x:c r="J205" s="16" t="str">
        <x:f>IF(I205&gt;=2,"Yes","No")</x:f>
        <x:v>No</x:v>
      </x:c>
    </x:row>
    <x:row r="206">
      <x:c r="A206" s="14" t="n">
        <x:v>46477</x:v>
      </x:c>
      <x:c r="B206" s="16" t="str">
        <x:f>TEXT(A206,"ddd")</x:f>
        <x:v>Wed</x:v>
      </x:c>
      <x:c r="C206" s="16" t="n">
        <x:v>0</x:v>
      </x:c>
      <x:c r="D206" s="16" t="n">
        <x:v>0</x:v>
      </x:c>
      <x:c r="E206" s="16" t="n">
        <x:v>0</x:v>
      </x:c>
      <x:c r="F206" s="16" t="n">
        <x:v>0</x:v>
      </x:c>
      <x:c r="G206" s="16" t="n">
        <x:v>0</x:v>
      </x:c>
      <x:c r="H206" s="16" t="n">
        <x:f>SUM(C206:G206)</x:f>
        <x:v>0</x:v>
      </x:c>
      <x:c r="I206" s="35" t="n">
        <x:f>H206/60</x:f>
        <x:v>0</x:v>
      </x:c>
      <x:c r="J206" s="16" t="str">
        <x:f>IF(I206&gt;=2,"Yes","No")</x:f>
        <x:v>No</x:v>
      </x:c>
    </x:row>
    <x:row r="207">
      <x:c r="A207" s="14" t="n">
        <x:v>46478</x:v>
      </x:c>
      <x:c r="B207" s="16" t="str">
        <x:f>TEXT(A207,"ddd")</x:f>
        <x:v>Thu</x:v>
      </x:c>
      <x:c r="C207" s="16" t="n">
        <x:v>0</x:v>
      </x:c>
      <x:c r="D207" s="16" t="n">
        <x:v>0</x:v>
      </x:c>
      <x:c r="E207" s="16" t="n">
        <x:v>0</x:v>
      </x:c>
      <x:c r="F207" s="16" t="n">
        <x:v>0</x:v>
      </x:c>
      <x:c r="G207" s="16" t="n">
        <x:v>0</x:v>
      </x:c>
      <x:c r="H207" s="16" t="n">
        <x:f>SUM(C207:G207)</x:f>
        <x:v>0</x:v>
      </x:c>
      <x:c r="I207" s="35" t="n">
        <x:f>H207/60</x:f>
        <x:v>0</x:v>
      </x:c>
      <x:c r="J207" s="16" t="str">
        <x:f>IF(I207&gt;=2,"Yes","No")</x:f>
        <x:v>No</x:v>
      </x:c>
    </x:row>
    <x:row r="208">
      <x:c r="A208" s="14" t="n">
        <x:v>46479</x:v>
      </x:c>
      <x:c r="B208" s="16" t="str">
        <x:f>TEXT(A208,"ddd")</x:f>
        <x:v>Fri</x:v>
      </x:c>
      <x:c r="C208" s="16" t="n">
        <x:v>0</x:v>
      </x:c>
      <x:c r="D208" s="16" t="n">
        <x:v>0</x:v>
      </x:c>
      <x:c r="E208" s="16" t="n">
        <x:v>0</x:v>
      </x:c>
      <x:c r="F208" s="16" t="n">
        <x:v>0</x:v>
      </x:c>
      <x:c r="G208" s="16" t="n">
        <x:v>0</x:v>
      </x:c>
      <x:c r="H208" s="16" t="n">
        <x:f>SUM(C208:G208)</x:f>
        <x:v>0</x:v>
      </x:c>
      <x:c r="I208" s="35" t="n">
        <x:f>H208/60</x:f>
        <x:v>0</x:v>
      </x:c>
      <x:c r="J208" s="16" t="str">
        <x:f>IF(I208&gt;=2,"Yes","No")</x:f>
        <x:v>No</x:v>
      </x:c>
    </x:row>
    <x:row r="209">
      <x:c r="A209" s="14" t="n">
        <x:v>46480</x:v>
      </x:c>
      <x:c r="B209" s="16" t="str">
        <x:f>TEXT(A209,"ddd")</x:f>
        <x:v>Sat</x:v>
      </x:c>
      <x:c r="C209" s="16" t="n">
        <x:v>0</x:v>
      </x:c>
      <x:c r="D209" s="16" t="n">
        <x:v>0</x:v>
      </x:c>
      <x:c r="E209" s="16" t="n">
        <x:v>0</x:v>
      </x:c>
      <x:c r="F209" s="16" t="n">
        <x:v>0</x:v>
      </x:c>
      <x:c r="G209" s="16" t="n">
        <x:v>0</x:v>
      </x:c>
      <x:c r="H209" s="16" t="n">
        <x:f>SUM(C209:G209)</x:f>
        <x:v>0</x:v>
      </x:c>
      <x:c r="I209" s="35" t="n">
        <x:f>H209/60</x:f>
        <x:v>0</x:v>
      </x:c>
      <x:c r="J209" s="16" t="str">
        <x:f>IF(I209&gt;=2,"Yes","No")</x:f>
        <x:v>No</x:v>
      </x:c>
    </x:row>
    <x:row r="210">
      <x:c r="A210" s="14" t="n">
        <x:v>46481</x:v>
      </x:c>
      <x:c r="B210" s="16" t="str">
        <x:f>TEXT(A210,"ddd")</x:f>
        <x:v>Sun</x:v>
      </x:c>
      <x:c r="C210" s="16" t="n">
        <x:v>0</x:v>
      </x:c>
      <x:c r="D210" s="16" t="n">
        <x:v>0</x:v>
      </x:c>
      <x:c r="E210" s="16" t="n">
        <x:v>0</x:v>
      </x:c>
      <x:c r="F210" s="16" t="n">
        <x:v>0</x:v>
      </x:c>
      <x:c r="G210" s="16" t="n">
        <x:v>0</x:v>
      </x:c>
      <x:c r="H210" s="16" t="n">
        <x:f>SUM(C210:G210)</x:f>
        <x:v>0</x:v>
      </x:c>
      <x:c r="I210" s="35" t="n">
        <x:f>H210/60</x:f>
        <x:v>0</x:v>
      </x:c>
      <x:c r="J210" s="16" t="str">
        <x:f>IF(I210&gt;=2,"Yes","No")</x:f>
        <x:v>No</x:v>
      </x:c>
    </x:row>
    <x:row r="211">
      <x:c r="A211" s="14" t="n">
        <x:v>46482</x:v>
      </x:c>
      <x:c r="B211" s="16" t="str">
        <x:f>TEXT(A211,"ddd")</x:f>
        <x:v>Mon</x:v>
      </x:c>
      <x:c r="C211" s="16" t="n">
        <x:v>0</x:v>
      </x:c>
      <x:c r="D211" s="16" t="n">
        <x:v>0</x:v>
      </x:c>
      <x:c r="E211" s="16" t="n">
        <x:v>0</x:v>
      </x:c>
      <x:c r="F211" s="16" t="n">
        <x:v>0</x:v>
      </x:c>
      <x:c r="G211" s="16" t="n">
        <x:v>0</x:v>
      </x:c>
      <x:c r="H211" s="16" t="n">
        <x:f>SUM(C211:G211)</x:f>
        <x:v>0</x:v>
      </x:c>
      <x:c r="I211" s="35" t="n">
        <x:f>H211/60</x:f>
        <x:v>0</x:v>
      </x:c>
      <x:c r="J211" s="16" t="str">
        <x:f>IF(I211&gt;=2,"Yes","No")</x:f>
        <x:v>No</x:v>
      </x:c>
    </x:row>
    <x:row r="212">
      <x:c r="A212" s="14" t="n">
        <x:v>46483</x:v>
      </x:c>
      <x:c r="B212" s="16" t="str">
        <x:f>TEXT(A212,"ddd")</x:f>
        <x:v>Tue</x:v>
      </x:c>
      <x:c r="C212" s="16" t="n">
        <x:v>0</x:v>
      </x:c>
      <x:c r="D212" s="16" t="n">
        <x:v>0</x:v>
      </x:c>
      <x:c r="E212" s="16" t="n">
        <x:v>0</x:v>
      </x:c>
      <x:c r="F212" s="16" t="n">
        <x:v>0</x:v>
      </x:c>
      <x:c r="G212" s="16" t="n">
        <x:v>0</x:v>
      </x:c>
      <x:c r="H212" s="16" t="n">
        <x:f>SUM(C212:G212)</x:f>
        <x:v>0</x:v>
      </x:c>
      <x:c r="I212" s="35" t="n">
        <x:f>H212/60</x:f>
        <x:v>0</x:v>
      </x:c>
      <x:c r="J212" s="16" t="str">
        <x:f>IF(I212&gt;=2,"Yes","No")</x:f>
        <x:v>No</x:v>
      </x:c>
    </x:row>
    <x:row r="213">
      <x:c r="A213" s="14" t="n">
        <x:v>46484</x:v>
      </x:c>
      <x:c r="B213" s="16" t="str">
        <x:f>TEXT(A213,"ddd")</x:f>
        <x:v>Wed</x:v>
      </x:c>
      <x:c r="C213" s="16" t="n">
        <x:v>0</x:v>
      </x:c>
      <x:c r="D213" s="16" t="n">
        <x:v>0</x:v>
      </x:c>
      <x:c r="E213" s="16" t="n">
        <x:v>0</x:v>
      </x:c>
      <x:c r="F213" s="16" t="n">
        <x:v>0</x:v>
      </x:c>
      <x:c r="G213" s="16" t="n">
        <x:v>0</x:v>
      </x:c>
      <x:c r="H213" s="16" t="n">
        <x:f>SUM(C213:G213)</x:f>
        <x:v>0</x:v>
      </x:c>
      <x:c r="I213" s="35" t="n">
        <x:f>H213/60</x:f>
        <x:v>0</x:v>
      </x:c>
      <x:c r="J213" s="16" t="str">
        <x:f>IF(I213&gt;=2,"Yes","No")</x:f>
        <x:v>No</x:v>
      </x:c>
    </x:row>
    <x:row r="214">
      <x:c r="A214" s="14" t="n">
        <x:v>46485</x:v>
      </x:c>
      <x:c r="B214" s="16" t="str">
        <x:f>TEXT(A214,"ddd")</x:f>
        <x:v>Thu</x:v>
      </x:c>
      <x:c r="C214" s="16" t="n">
        <x:v>0</x:v>
      </x:c>
      <x:c r="D214" s="16" t="n">
        <x:v>0</x:v>
      </x:c>
      <x:c r="E214" s="16" t="n">
        <x:v>0</x:v>
      </x:c>
      <x:c r="F214" s="16" t="n">
        <x:v>0</x:v>
      </x:c>
      <x:c r="G214" s="16" t="n">
        <x:v>0</x:v>
      </x:c>
      <x:c r="H214" s="16" t="n">
        <x:f>SUM(C214:G214)</x:f>
        <x:v>0</x:v>
      </x:c>
      <x:c r="I214" s="35" t="n">
        <x:f>H214/60</x:f>
        <x:v>0</x:v>
      </x:c>
      <x:c r="J214" s="16" t="str">
        <x:f>IF(I214&gt;=2,"Yes","No")</x:f>
        <x:v>No</x:v>
      </x:c>
    </x:row>
    <x:row r="215">
      <x:c r="A215" s="14" t="n">
        <x:v>46486</x:v>
      </x:c>
      <x:c r="B215" s="16" t="str">
        <x:f>TEXT(A215,"ddd")</x:f>
        <x:v>Fri</x:v>
      </x:c>
      <x:c r="C215" s="16" t="n">
        <x:v>0</x:v>
      </x:c>
      <x:c r="D215" s="16" t="n">
        <x:v>0</x:v>
      </x:c>
      <x:c r="E215" s="16" t="n">
        <x:v>0</x:v>
      </x:c>
      <x:c r="F215" s="16" t="n">
        <x:v>0</x:v>
      </x:c>
      <x:c r="G215" s="16" t="n">
        <x:v>0</x:v>
      </x:c>
      <x:c r="H215" s="16" t="n">
        <x:f>SUM(C215:G215)</x:f>
        <x:v>0</x:v>
      </x:c>
      <x:c r="I215" s="35" t="n">
        <x:f>H215/60</x:f>
        <x:v>0</x:v>
      </x:c>
      <x:c r="J215" s="16" t="str">
        <x:f>IF(I215&gt;=2,"Yes","No")</x:f>
        <x:v>No</x:v>
      </x:c>
    </x:row>
    <x:row r="216">
      <x:c r="A216" s="14" t="n">
        <x:v>46487</x:v>
      </x:c>
      <x:c r="B216" s="16" t="str">
        <x:f>TEXT(A216,"ddd")</x:f>
        <x:v>Sat</x:v>
      </x:c>
      <x:c r="C216" s="16" t="n">
        <x:v>0</x:v>
      </x:c>
      <x:c r="D216" s="16" t="n">
        <x:v>0</x:v>
      </x:c>
      <x:c r="E216" s="16" t="n">
        <x:v>0</x:v>
      </x:c>
      <x:c r="F216" s="16" t="n">
        <x:v>0</x:v>
      </x:c>
      <x:c r="G216" s="16" t="n">
        <x:v>0</x:v>
      </x:c>
      <x:c r="H216" s="16" t="n">
        <x:f>SUM(C216:G216)</x:f>
        <x:v>0</x:v>
      </x:c>
      <x:c r="I216" s="35" t="n">
        <x:f>H216/60</x:f>
        <x:v>0</x:v>
      </x:c>
      <x:c r="J216" s="16" t="str">
        <x:f>IF(I216&gt;=2,"Yes","No")</x:f>
        <x:v>No</x:v>
      </x:c>
    </x:row>
    <x:row r="217">
      <x:c r="A217" s="14" t="n">
        <x:v>46488</x:v>
      </x:c>
      <x:c r="B217" s="16" t="str">
        <x:f>TEXT(A217,"ddd")</x:f>
        <x:v>Sun</x:v>
      </x:c>
      <x:c r="C217" s="16" t="n">
        <x:v>0</x:v>
      </x:c>
      <x:c r="D217" s="16" t="n">
        <x:v>0</x:v>
      </x:c>
      <x:c r="E217" s="16" t="n">
        <x:v>0</x:v>
      </x:c>
      <x:c r="F217" s="16" t="n">
        <x:v>0</x:v>
      </x:c>
      <x:c r="G217" s="16" t="n">
        <x:v>0</x:v>
      </x:c>
      <x:c r="H217" s="16" t="n">
        <x:f>SUM(C217:G217)</x:f>
        <x:v>0</x:v>
      </x:c>
      <x:c r="I217" s="35" t="n">
        <x:f>H217/60</x:f>
        <x:v>0</x:v>
      </x:c>
      <x:c r="J217" s="16" t="str">
        <x:f>IF(I217&gt;=2,"Yes","No")</x:f>
        <x:v>No</x:v>
      </x:c>
    </x:row>
    <x:row r="218">
      <x:c r="A218" s="14" t="n">
        <x:v>46489</x:v>
      </x:c>
      <x:c r="B218" s="16" t="str">
        <x:f>TEXT(A218,"ddd")</x:f>
        <x:v>Mon</x:v>
      </x:c>
      <x:c r="C218" s="16" t="n">
        <x:v>0</x:v>
      </x:c>
      <x:c r="D218" s="16" t="n">
        <x:v>0</x:v>
      </x:c>
      <x:c r="E218" s="16" t="n">
        <x:v>0</x:v>
      </x:c>
      <x:c r="F218" s="16" t="n">
        <x:v>0</x:v>
      </x:c>
      <x:c r="G218" s="16" t="n">
        <x:v>0</x:v>
      </x:c>
      <x:c r="H218" s="16" t="n">
        <x:f>SUM(C218:G218)</x:f>
        <x:v>0</x:v>
      </x:c>
      <x:c r="I218" s="35" t="n">
        <x:f>H218/60</x:f>
        <x:v>0</x:v>
      </x:c>
      <x:c r="J218" s="16" t="str">
        <x:f>IF(I218&gt;=2,"Yes","No")</x:f>
        <x:v>No</x:v>
      </x:c>
    </x:row>
    <x:row r="219">
      <x:c r="A219" s="14" t="n">
        <x:v>46490</x:v>
      </x:c>
      <x:c r="B219" s="16" t="str">
        <x:f>TEXT(A219,"ddd")</x:f>
        <x:v>Tue</x:v>
      </x:c>
      <x:c r="C219" s="16" t="n">
        <x:v>0</x:v>
      </x:c>
      <x:c r="D219" s="16" t="n">
        <x:v>0</x:v>
      </x:c>
      <x:c r="E219" s="16" t="n">
        <x:v>0</x:v>
      </x:c>
      <x:c r="F219" s="16" t="n">
        <x:v>0</x:v>
      </x:c>
      <x:c r="G219" s="16" t="n">
        <x:v>0</x:v>
      </x:c>
      <x:c r="H219" s="16" t="n">
        <x:f>SUM(C219:G219)</x:f>
        <x:v>0</x:v>
      </x:c>
      <x:c r="I219" s="35" t="n">
        <x:f>H219/60</x:f>
        <x:v>0</x:v>
      </x:c>
      <x:c r="J219" s="16" t="str">
        <x:f>IF(I219&gt;=2,"Yes","No")</x:f>
        <x:v>No</x:v>
      </x:c>
    </x:row>
    <x:row r="220">
      <x:c r="A220" s="14" t="n">
        <x:v>46491</x:v>
      </x:c>
      <x:c r="B220" s="16" t="str">
        <x:f>TEXT(A220,"ddd")</x:f>
        <x:v>Wed</x:v>
      </x:c>
      <x:c r="C220" s="16" t="n">
        <x:v>0</x:v>
      </x:c>
      <x:c r="D220" s="16" t="n">
        <x:v>0</x:v>
      </x:c>
      <x:c r="E220" s="16" t="n">
        <x:v>0</x:v>
      </x:c>
      <x:c r="F220" s="16" t="n">
        <x:v>0</x:v>
      </x:c>
      <x:c r="G220" s="16" t="n">
        <x:v>0</x:v>
      </x:c>
      <x:c r="H220" s="16" t="n">
        <x:f>SUM(C220:G220)</x:f>
        <x:v>0</x:v>
      </x:c>
      <x:c r="I220" s="35" t="n">
        <x:f>H220/60</x:f>
        <x:v>0</x:v>
      </x:c>
      <x:c r="J220" s="16" t="str">
        <x:f>IF(I220&gt;=2,"Yes","No")</x:f>
        <x:v>No</x:v>
      </x:c>
    </x:row>
    <x:row r="221">
      <x:c r="A221" s="14" t="n">
        <x:v>46492</x:v>
      </x:c>
      <x:c r="B221" s="16" t="str">
        <x:f>TEXT(A221,"ddd")</x:f>
        <x:v>Thu</x:v>
      </x:c>
      <x:c r="C221" s="16" t="n">
        <x:v>0</x:v>
      </x:c>
      <x:c r="D221" s="16" t="n">
        <x:v>0</x:v>
      </x:c>
      <x:c r="E221" s="16" t="n">
        <x:v>0</x:v>
      </x:c>
      <x:c r="F221" s="16" t="n">
        <x:v>0</x:v>
      </x:c>
      <x:c r="G221" s="16" t="n">
        <x:v>0</x:v>
      </x:c>
      <x:c r="H221" s="16" t="n">
        <x:f>SUM(C221:G221)</x:f>
        <x:v>0</x:v>
      </x:c>
      <x:c r="I221" s="35" t="n">
        <x:f>H221/60</x:f>
        <x:v>0</x:v>
      </x:c>
      <x:c r="J221" s="16" t="str">
        <x:f>IF(I221&gt;=2,"Yes","No")</x:f>
        <x:v>No</x:v>
      </x:c>
    </x:row>
    <x:row r="222">
      <x:c r="A222" s="14" t="n">
        <x:v>46493</x:v>
      </x:c>
      <x:c r="B222" s="16" t="str">
        <x:f>TEXT(A222,"ddd")</x:f>
        <x:v>Fri</x:v>
      </x:c>
      <x:c r="C222" s="16" t="n">
        <x:v>0</x:v>
      </x:c>
      <x:c r="D222" s="16" t="n">
        <x:v>0</x:v>
      </x:c>
      <x:c r="E222" s="16" t="n">
        <x:v>0</x:v>
      </x:c>
      <x:c r="F222" s="16" t="n">
        <x:v>0</x:v>
      </x:c>
      <x:c r="G222" s="16" t="n">
        <x:v>0</x:v>
      </x:c>
      <x:c r="H222" s="16" t="n">
        <x:f>SUM(C222:G222)</x:f>
        <x:v>0</x:v>
      </x:c>
      <x:c r="I222" s="35" t="n">
        <x:f>H222/60</x:f>
        <x:v>0</x:v>
      </x:c>
      <x:c r="J222" s="16" t="str">
        <x:f>IF(I222&gt;=2,"Yes","No")</x:f>
        <x:v>No</x:v>
      </x:c>
    </x:row>
    <x:row r="223">
      <x:c r="A223" s="14" t="n">
        <x:v>46494</x:v>
      </x:c>
      <x:c r="B223" s="16" t="str">
        <x:f>TEXT(A223,"ddd")</x:f>
        <x:v>Sat</x:v>
      </x:c>
      <x:c r="C223" s="16" t="n">
        <x:v>0</x:v>
      </x:c>
      <x:c r="D223" s="16" t="n">
        <x:v>0</x:v>
      </x:c>
      <x:c r="E223" s="16" t="n">
        <x:v>0</x:v>
      </x:c>
      <x:c r="F223" s="16" t="n">
        <x:v>0</x:v>
      </x:c>
      <x:c r="G223" s="16" t="n">
        <x:v>0</x:v>
      </x:c>
      <x:c r="H223" s="16" t="n">
        <x:f>SUM(C223:G223)</x:f>
        <x:v>0</x:v>
      </x:c>
      <x:c r="I223" s="35" t="n">
        <x:f>H223/60</x:f>
        <x:v>0</x:v>
      </x:c>
      <x:c r="J223" s="16" t="str">
        <x:f>IF(I223&gt;=2,"Yes","No")</x:f>
        <x:v>No</x:v>
      </x:c>
    </x:row>
    <x:row r="224">
      <x:c r="A224" s="14" t="n">
        <x:v>46495</x:v>
      </x:c>
      <x:c r="B224" s="16" t="str">
        <x:f>TEXT(A224,"ddd")</x:f>
        <x:v>Sun</x:v>
      </x:c>
      <x:c r="C224" s="16" t="n">
        <x:v>0</x:v>
      </x:c>
      <x:c r="D224" s="16" t="n">
        <x:v>0</x:v>
      </x:c>
      <x:c r="E224" s="16" t="n">
        <x:v>0</x:v>
      </x:c>
      <x:c r="F224" s="16" t="n">
        <x:v>0</x:v>
      </x:c>
      <x:c r="G224" s="16" t="n">
        <x:v>0</x:v>
      </x:c>
      <x:c r="H224" s="16" t="n">
        <x:f>SUM(C224:G224)</x:f>
        <x:v>0</x:v>
      </x:c>
      <x:c r="I224" s="35" t="n">
        <x:f>H224/60</x:f>
        <x:v>0</x:v>
      </x:c>
      <x:c r="J224" s="16" t="str">
        <x:f>IF(I224&gt;=2,"Yes","No")</x:f>
        <x:v>No</x:v>
      </x:c>
    </x:row>
    <x:row r="225">
      <x:c r="A225" s="14" t="n">
        <x:v>46496</x:v>
      </x:c>
      <x:c r="B225" s="16" t="str">
        <x:f>TEXT(A225,"ddd")</x:f>
        <x:v>Mon</x:v>
      </x:c>
      <x:c r="C225" s="16" t="n">
        <x:v>0</x:v>
      </x:c>
      <x:c r="D225" s="16" t="n">
        <x:v>0</x:v>
      </x:c>
      <x:c r="E225" s="16" t="n">
        <x:v>0</x:v>
      </x:c>
      <x:c r="F225" s="16" t="n">
        <x:v>0</x:v>
      </x:c>
      <x:c r="G225" s="16" t="n">
        <x:v>0</x:v>
      </x:c>
      <x:c r="H225" s="16" t="n">
        <x:f>SUM(C225:G225)</x:f>
        <x:v>0</x:v>
      </x:c>
      <x:c r="I225" s="35" t="n">
        <x:f>H225/60</x:f>
        <x:v>0</x:v>
      </x:c>
      <x:c r="J225" s="16" t="str">
        <x:f>IF(I225&gt;=2,"Yes","No")</x:f>
        <x:v>No</x:v>
      </x:c>
    </x:row>
    <x:row r="226">
      <x:c r="A226" s="14" t="n">
        <x:v>46497</x:v>
      </x:c>
      <x:c r="B226" s="16" t="str">
        <x:f>TEXT(A226,"ddd")</x:f>
        <x:v>Tue</x:v>
      </x:c>
      <x:c r="C226" s="16" t="n">
        <x:v>0</x:v>
      </x:c>
      <x:c r="D226" s="16" t="n">
        <x:v>0</x:v>
      </x:c>
      <x:c r="E226" s="16" t="n">
        <x:v>0</x:v>
      </x:c>
      <x:c r="F226" s="16" t="n">
        <x:v>0</x:v>
      </x:c>
      <x:c r="G226" s="16" t="n">
        <x:v>0</x:v>
      </x:c>
      <x:c r="H226" s="16" t="n">
        <x:f>SUM(C226:G226)</x:f>
        <x:v>0</x:v>
      </x:c>
      <x:c r="I226" s="35" t="n">
        <x:f>H226/60</x:f>
        <x:v>0</x:v>
      </x:c>
      <x:c r="J226" s="16" t="str">
        <x:f>IF(I226&gt;=2,"Yes","No")</x:f>
        <x:v>No</x:v>
      </x:c>
    </x:row>
    <x:row r="227">
      <x:c r="A227" s="14" t="n">
        <x:v>46498</x:v>
      </x:c>
      <x:c r="B227" s="16" t="str">
        <x:f>TEXT(A227,"ddd")</x:f>
        <x:v>Wed</x:v>
      </x:c>
      <x:c r="C227" s="16" t="n">
        <x:v>0</x:v>
      </x:c>
      <x:c r="D227" s="16" t="n">
        <x:v>0</x:v>
      </x:c>
      <x:c r="E227" s="16" t="n">
        <x:v>0</x:v>
      </x:c>
      <x:c r="F227" s="16" t="n">
        <x:v>0</x:v>
      </x:c>
      <x:c r="G227" s="16" t="n">
        <x:v>0</x:v>
      </x:c>
      <x:c r="H227" s="16" t="n">
        <x:f>SUM(C227:G227)</x:f>
        <x:v>0</x:v>
      </x:c>
      <x:c r="I227" s="35" t="n">
        <x:f>H227/60</x:f>
        <x:v>0</x:v>
      </x:c>
      <x:c r="J227" s="16" t="str">
        <x:f>IF(I227&gt;=2,"Yes","No")</x:f>
        <x:v>No</x:v>
      </x:c>
    </x:row>
    <x:row r="228">
      <x:c r="A228" s="14" t="n">
        <x:v>46499</x:v>
      </x:c>
      <x:c r="B228" s="16" t="str">
        <x:f>TEXT(A228,"ddd")</x:f>
        <x:v>Thu</x:v>
      </x:c>
      <x:c r="C228" s="16" t="n">
        <x:v>0</x:v>
      </x:c>
      <x:c r="D228" s="16" t="n">
        <x:v>0</x:v>
      </x:c>
      <x:c r="E228" s="16" t="n">
        <x:v>0</x:v>
      </x:c>
      <x:c r="F228" s="16" t="n">
        <x:v>0</x:v>
      </x:c>
      <x:c r="G228" s="16" t="n">
        <x:v>0</x:v>
      </x:c>
      <x:c r="H228" s="16" t="n">
        <x:f>SUM(C228:G228)</x:f>
        <x:v>0</x:v>
      </x:c>
      <x:c r="I228" s="35" t="n">
        <x:f>H228/60</x:f>
        <x:v>0</x:v>
      </x:c>
      <x:c r="J228" s="16" t="str">
        <x:f>IF(I228&gt;=2,"Yes","No")</x:f>
        <x:v>No</x:v>
      </x:c>
    </x:row>
    <x:row r="229">
      <x:c r="A229" s="14" t="n">
        <x:v>46500</x:v>
      </x:c>
      <x:c r="B229" s="16" t="str">
        <x:f>TEXT(A229,"ddd")</x:f>
        <x:v>Fri</x:v>
      </x:c>
      <x:c r="C229" s="16" t="n">
        <x:v>0</x:v>
      </x:c>
      <x:c r="D229" s="16" t="n">
        <x:v>0</x:v>
      </x:c>
      <x:c r="E229" s="16" t="n">
        <x:v>0</x:v>
      </x:c>
      <x:c r="F229" s="16" t="n">
        <x:v>0</x:v>
      </x:c>
      <x:c r="G229" s="16" t="n">
        <x:v>0</x:v>
      </x:c>
      <x:c r="H229" s="16" t="n">
        <x:f>SUM(C229:G229)</x:f>
        <x:v>0</x:v>
      </x:c>
      <x:c r="I229" s="35" t="n">
        <x:f>H229/60</x:f>
        <x:v>0</x:v>
      </x:c>
      <x:c r="J229" s="16" t="str">
        <x:f>IF(I229&gt;=2,"Yes","No")</x:f>
        <x:v>No</x:v>
      </x:c>
    </x:row>
    <x:row r="230">
      <x:c r="A230" s="14" t="n">
        <x:v>46501</x:v>
      </x:c>
      <x:c r="B230" s="16" t="str">
        <x:f>TEXT(A230,"ddd")</x:f>
        <x:v>Sat</x:v>
      </x:c>
      <x:c r="C230" s="16" t="n">
        <x:v>0</x:v>
      </x:c>
      <x:c r="D230" s="16" t="n">
        <x:v>0</x:v>
      </x:c>
      <x:c r="E230" s="16" t="n">
        <x:v>0</x:v>
      </x:c>
      <x:c r="F230" s="16" t="n">
        <x:v>0</x:v>
      </x:c>
      <x:c r="G230" s="16" t="n">
        <x:v>0</x:v>
      </x:c>
      <x:c r="H230" s="16" t="n">
        <x:f>SUM(C230:G230)</x:f>
        <x:v>0</x:v>
      </x:c>
      <x:c r="I230" s="35" t="n">
        <x:f>H230/60</x:f>
        <x:v>0</x:v>
      </x:c>
      <x:c r="J230" s="16" t="str">
        <x:f>IF(I230&gt;=2,"Yes","No")</x:f>
        <x:v>No</x:v>
      </x:c>
    </x:row>
    <x:row r="231">
      <x:c r="A231" s="14" t="n">
        <x:v>46502</x:v>
      </x:c>
      <x:c r="B231" s="16" t="str">
        <x:f>TEXT(A231,"ddd")</x:f>
        <x:v>Sun</x:v>
      </x:c>
      <x:c r="C231" s="16" t="n">
        <x:v>0</x:v>
      </x:c>
      <x:c r="D231" s="16" t="n">
        <x:v>0</x:v>
      </x:c>
      <x:c r="E231" s="16" t="n">
        <x:v>0</x:v>
      </x:c>
      <x:c r="F231" s="16" t="n">
        <x:v>0</x:v>
      </x:c>
      <x:c r="G231" s="16" t="n">
        <x:v>0</x:v>
      </x:c>
      <x:c r="H231" s="16" t="n">
        <x:f>SUM(C231:G231)</x:f>
        <x:v>0</x:v>
      </x:c>
      <x:c r="I231" s="35" t="n">
        <x:f>H231/60</x:f>
        <x:v>0</x:v>
      </x:c>
      <x:c r="J231" s="16" t="str">
        <x:f>IF(I231&gt;=2,"Yes","No")</x:f>
        <x:v>No</x:v>
      </x:c>
    </x:row>
    <x:row r="232">
      <x:c r="A232" s="14" t="n">
        <x:v>46503</x:v>
      </x:c>
      <x:c r="B232" s="16" t="str">
        <x:f>TEXT(A232,"ddd")</x:f>
        <x:v>Mon</x:v>
      </x:c>
      <x:c r="C232" s="16" t="n">
        <x:v>0</x:v>
      </x:c>
      <x:c r="D232" s="16" t="n">
        <x:v>0</x:v>
      </x:c>
      <x:c r="E232" s="16" t="n">
        <x:v>0</x:v>
      </x:c>
      <x:c r="F232" s="16" t="n">
        <x:v>0</x:v>
      </x:c>
      <x:c r="G232" s="16" t="n">
        <x:v>0</x:v>
      </x:c>
      <x:c r="H232" s="16" t="n">
        <x:f>SUM(C232:G232)</x:f>
        <x:v>0</x:v>
      </x:c>
      <x:c r="I232" s="35" t="n">
        <x:f>H232/60</x:f>
        <x:v>0</x:v>
      </x:c>
      <x:c r="J232" s="16" t="str">
        <x:f>IF(I232&gt;=2,"Yes","No")</x:f>
        <x:v>No</x:v>
      </x:c>
    </x:row>
    <x:row r="233">
      <x:c r="A233" s="14" t="n">
        <x:v>46504</x:v>
      </x:c>
      <x:c r="B233" s="16" t="str">
        <x:f>TEXT(A233,"ddd")</x:f>
        <x:v>Tue</x:v>
      </x:c>
      <x:c r="C233" s="16" t="n">
        <x:v>0</x:v>
      </x:c>
      <x:c r="D233" s="16" t="n">
        <x:v>0</x:v>
      </x:c>
      <x:c r="E233" s="16" t="n">
        <x:v>0</x:v>
      </x:c>
      <x:c r="F233" s="16" t="n">
        <x:v>0</x:v>
      </x:c>
      <x:c r="G233" s="16" t="n">
        <x:v>0</x:v>
      </x:c>
      <x:c r="H233" s="16" t="n">
        <x:f>SUM(C233:G233)</x:f>
        <x:v>0</x:v>
      </x:c>
      <x:c r="I233" s="35" t="n">
        <x:f>H233/60</x:f>
        <x:v>0</x:v>
      </x:c>
      <x:c r="J233" s="16" t="str">
        <x:f>IF(I233&gt;=2,"Yes","No")</x:f>
        <x:v>No</x:v>
      </x:c>
    </x:row>
    <x:row r="234">
      <x:c r="A234" s="14" t="n">
        <x:v>46505</x:v>
      </x:c>
      <x:c r="B234" s="16" t="str">
        <x:f>TEXT(A234,"ddd")</x:f>
        <x:v>Wed</x:v>
      </x:c>
      <x:c r="C234" s="16" t="n">
        <x:v>0</x:v>
      </x:c>
      <x:c r="D234" s="16" t="n">
        <x:v>0</x:v>
      </x:c>
      <x:c r="E234" s="16" t="n">
        <x:v>0</x:v>
      </x:c>
      <x:c r="F234" s="16" t="n">
        <x:v>0</x:v>
      </x:c>
      <x:c r="G234" s="16" t="n">
        <x:v>0</x:v>
      </x:c>
      <x:c r="H234" s="16" t="n">
        <x:f>SUM(C234:G234)</x:f>
        <x:v>0</x:v>
      </x:c>
      <x:c r="I234" s="35" t="n">
        <x:f>H234/60</x:f>
        <x:v>0</x:v>
      </x:c>
      <x:c r="J234" s="16" t="str">
        <x:f>IF(I234&gt;=2,"Yes","No")</x:f>
        <x:v>No</x:v>
      </x:c>
    </x:row>
    <x:row r="235">
      <x:c r="A235" s="14" t="n">
        <x:v>46506</x:v>
      </x:c>
      <x:c r="B235" s="16" t="str">
        <x:f>TEXT(A235,"ddd")</x:f>
        <x:v>Thu</x:v>
      </x:c>
      <x:c r="C235" s="16" t="n">
        <x:v>0</x:v>
      </x:c>
      <x:c r="D235" s="16" t="n">
        <x:v>0</x:v>
      </x:c>
      <x:c r="E235" s="16" t="n">
        <x:v>0</x:v>
      </x:c>
      <x:c r="F235" s="16" t="n">
        <x:v>0</x:v>
      </x:c>
      <x:c r="G235" s="16" t="n">
        <x:v>0</x:v>
      </x:c>
      <x:c r="H235" s="16" t="n">
        <x:f>SUM(C235:G235)</x:f>
        <x:v>0</x:v>
      </x:c>
      <x:c r="I235" s="35" t="n">
        <x:f>H235/60</x:f>
        <x:v>0</x:v>
      </x:c>
      <x:c r="J235" s="16" t="str">
        <x:f>IF(I235&gt;=2,"Yes","No")</x:f>
        <x:v>No</x:v>
      </x:c>
    </x:row>
    <x:row r="236">
      <x:c r="A236" s="14" t="n">
        <x:v>46507</x:v>
      </x:c>
      <x:c r="B236" s="16" t="str">
        <x:f>TEXT(A236,"ddd")</x:f>
        <x:v>Fri</x:v>
      </x:c>
      <x:c r="C236" s="16" t="n">
        <x:v>0</x:v>
      </x:c>
      <x:c r="D236" s="16" t="n">
        <x:v>0</x:v>
      </x:c>
      <x:c r="E236" s="16" t="n">
        <x:v>0</x:v>
      </x:c>
      <x:c r="F236" s="16" t="n">
        <x:v>0</x:v>
      </x:c>
      <x:c r="G236" s="16" t="n">
        <x:v>0</x:v>
      </x:c>
      <x:c r="H236" s="16" t="n">
        <x:f>SUM(C236:G236)</x:f>
        <x:v>0</x:v>
      </x:c>
      <x:c r="I236" s="35" t="n">
        <x:f>H236/60</x:f>
        <x:v>0</x:v>
      </x:c>
      <x:c r="J236" s="16" t="str">
        <x:f>IF(I236&gt;=2,"Yes","No")</x:f>
        <x:v>No</x:v>
      </x:c>
    </x:row>
    <x:row r="237">
      <x:c r="A237" s="14" t="n">
        <x:v>46508</x:v>
      </x:c>
      <x:c r="B237" s="16" t="str">
        <x:f>TEXT(A237,"ddd")</x:f>
        <x:v>Sat</x:v>
      </x:c>
      <x:c r="C237" s="16" t="n">
        <x:v>0</x:v>
      </x:c>
      <x:c r="D237" s="16" t="n">
        <x:v>0</x:v>
      </x:c>
      <x:c r="E237" s="16" t="n">
        <x:v>0</x:v>
      </x:c>
      <x:c r="F237" s="16" t="n">
        <x:v>0</x:v>
      </x:c>
      <x:c r="G237" s="16" t="n">
        <x:v>0</x:v>
      </x:c>
      <x:c r="H237" s="16" t="n">
        <x:f>SUM(C237:G237)</x:f>
        <x:v>0</x:v>
      </x:c>
      <x:c r="I237" s="35" t="n">
        <x:f>H237/60</x:f>
        <x:v>0</x:v>
      </x:c>
      <x:c r="J237" s="16" t="str">
        <x:f>IF(I237&gt;=2,"Yes","No")</x:f>
        <x:v>No</x:v>
      </x:c>
    </x:row>
    <x:row r="238">
      <x:c r="A238" s="14" t="n">
        <x:v>46509</x:v>
      </x:c>
      <x:c r="B238" s="16" t="str">
        <x:f>TEXT(A238,"ddd")</x:f>
        <x:v>Sun</x:v>
      </x:c>
      <x:c r="C238" s="16" t="n">
        <x:v>0</x:v>
      </x:c>
      <x:c r="D238" s="16" t="n">
        <x:v>0</x:v>
      </x:c>
      <x:c r="E238" s="16" t="n">
        <x:v>0</x:v>
      </x:c>
      <x:c r="F238" s="16" t="n">
        <x:v>0</x:v>
      </x:c>
      <x:c r="G238" s="16" t="n">
        <x:v>0</x:v>
      </x:c>
      <x:c r="H238" s="16" t="n">
        <x:f>SUM(C238:G238)</x:f>
        <x:v>0</x:v>
      </x:c>
      <x:c r="I238" s="35" t="n">
        <x:f>H238/60</x:f>
        <x:v>0</x:v>
      </x:c>
      <x:c r="J238" s="16" t="str">
        <x:f>IF(I238&gt;=2,"Yes","No")</x:f>
        <x:v>No</x:v>
      </x:c>
    </x:row>
    <x:row r="239">
      <x:c r="A239" s="14" t="n">
        <x:v>46510</x:v>
      </x:c>
      <x:c r="B239" s="16" t="str">
        <x:f>TEXT(A239,"ddd")</x:f>
        <x:v>Mon</x:v>
      </x:c>
      <x:c r="C239" s="16" t="n">
        <x:v>0</x:v>
      </x:c>
      <x:c r="D239" s="16" t="n">
        <x:v>0</x:v>
      </x:c>
      <x:c r="E239" s="16" t="n">
        <x:v>0</x:v>
      </x:c>
      <x:c r="F239" s="16" t="n">
        <x:v>0</x:v>
      </x:c>
      <x:c r="G239" s="16" t="n">
        <x:v>0</x:v>
      </x:c>
      <x:c r="H239" s="16" t="n">
        <x:f>SUM(C239:G239)</x:f>
        <x:v>0</x:v>
      </x:c>
      <x:c r="I239" s="35" t="n">
        <x:f>H239/60</x:f>
        <x:v>0</x:v>
      </x:c>
      <x:c r="J239" s="16" t="str">
        <x:f>IF(I239&gt;=2,"Yes","No")</x:f>
        <x:v>No</x:v>
      </x:c>
    </x:row>
    <x:row r="240">
      <x:c r="A240" s="14" t="n">
        <x:v>46511</x:v>
      </x:c>
      <x:c r="B240" s="16" t="str">
        <x:f>TEXT(A240,"ddd")</x:f>
        <x:v>Tue</x:v>
      </x:c>
      <x:c r="C240" s="16" t="n">
        <x:v>0</x:v>
      </x:c>
      <x:c r="D240" s="16" t="n">
        <x:v>0</x:v>
      </x:c>
      <x:c r="E240" s="16" t="n">
        <x:v>0</x:v>
      </x:c>
      <x:c r="F240" s="16" t="n">
        <x:v>0</x:v>
      </x:c>
      <x:c r="G240" s="16" t="n">
        <x:v>0</x:v>
      </x:c>
      <x:c r="H240" s="16" t="n">
        <x:f>SUM(C240:G240)</x:f>
        <x:v>0</x:v>
      </x:c>
      <x:c r="I240" s="35" t="n">
        <x:f>H240/60</x:f>
        <x:v>0</x:v>
      </x:c>
      <x:c r="J240" s="16" t="str">
        <x:f>IF(I240&gt;=2,"Yes","No")</x:f>
        <x:v>No</x:v>
      </x:c>
    </x:row>
    <x:row r="241">
      <x:c r="A241" s="14" t="n">
        <x:v>46512</x:v>
      </x:c>
      <x:c r="B241" s="16" t="str">
        <x:f>TEXT(A241,"ddd")</x:f>
        <x:v>Wed</x:v>
      </x:c>
      <x:c r="C241" s="16" t="n">
        <x:v>0</x:v>
      </x:c>
      <x:c r="D241" s="16" t="n">
        <x:v>0</x:v>
      </x:c>
      <x:c r="E241" s="16" t="n">
        <x:v>0</x:v>
      </x:c>
      <x:c r="F241" s="16" t="n">
        <x:v>0</x:v>
      </x:c>
      <x:c r="G241" s="16" t="n">
        <x:v>0</x:v>
      </x:c>
      <x:c r="H241" s="16" t="n">
        <x:f>SUM(C241:G241)</x:f>
        <x:v>0</x:v>
      </x:c>
      <x:c r="I241" s="35" t="n">
        <x:f>H241/60</x:f>
        <x:v>0</x:v>
      </x:c>
      <x:c r="J241" s="16" t="str">
        <x:f>IF(I241&gt;=2,"Yes","No")</x:f>
        <x:v>No</x:v>
      </x:c>
    </x:row>
    <x:row r="242">
      <x:c r="A242" s="14" t="n">
        <x:v>46513</x:v>
      </x:c>
      <x:c r="B242" s="16" t="str">
        <x:f>TEXT(A242,"ddd")</x:f>
        <x:v>Thu</x:v>
      </x:c>
      <x:c r="C242" s="16" t="n">
        <x:v>0</x:v>
      </x:c>
      <x:c r="D242" s="16" t="n">
        <x:v>0</x:v>
      </x:c>
      <x:c r="E242" s="16" t="n">
        <x:v>0</x:v>
      </x:c>
      <x:c r="F242" s="16" t="n">
        <x:v>0</x:v>
      </x:c>
      <x:c r="G242" s="16" t="n">
        <x:v>0</x:v>
      </x:c>
      <x:c r="H242" s="16" t="n">
        <x:f>SUM(C242:G242)</x:f>
        <x:v>0</x:v>
      </x:c>
      <x:c r="I242" s="35" t="n">
        <x:f>H242/60</x:f>
        <x:v>0</x:v>
      </x:c>
      <x:c r="J242" s="16" t="str">
        <x:f>IF(I242&gt;=2,"Yes","No")</x:f>
        <x:v>No</x:v>
      </x:c>
    </x:row>
    <x:row r="243">
      <x:c r="A243" s="14" t="n">
        <x:v>46514</x:v>
      </x:c>
      <x:c r="B243" s="16" t="str">
        <x:f>TEXT(A243,"ddd")</x:f>
        <x:v>Fri</x:v>
      </x:c>
      <x:c r="C243" s="16" t="n">
        <x:v>0</x:v>
      </x:c>
      <x:c r="D243" s="16" t="n">
        <x:v>0</x:v>
      </x:c>
      <x:c r="E243" s="16" t="n">
        <x:v>0</x:v>
      </x:c>
      <x:c r="F243" s="16" t="n">
        <x:v>0</x:v>
      </x:c>
      <x:c r="G243" s="16" t="n">
        <x:v>0</x:v>
      </x:c>
      <x:c r="H243" s="16" t="n">
        <x:f>SUM(C243:G243)</x:f>
        <x:v>0</x:v>
      </x:c>
      <x:c r="I243" s="35" t="n">
        <x:f>H243/60</x:f>
        <x:v>0</x:v>
      </x:c>
      <x:c r="J243" s="16" t="str">
        <x:f>IF(I243&gt;=2,"Yes","No")</x:f>
        <x:v>No</x:v>
      </x:c>
    </x:row>
    <x:row r="244">
      <x:c r="A244" s="14" t="n">
        <x:v>46515</x:v>
      </x:c>
      <x:c r="B244" s="16" t="str">
        <x:f>TEXT(A244,"ddd")</x:f>
        <x:v>Sat</x:v>
      </x:c>
      <x:c r="C244" s="16" t="n">
        <x:v>0</x:v>
      </x:c>
      <x:c r="D244" s="16" t="n">
        <x:v>0</x:v>
      </x:c>
      <x:c r="E244" s="16" t="n">
        <x:v>0</x:v>
      </x:c>
      <x:c r="F244" s="16" t="n">
        <x:v>0</x:v>
      </x:c>
      <x:c r="G244" s="16" t="n">
        <x:v>0</x:v>
      </x:c>
      <x:c r="H244" s="16" t="n">
        <x:f>SUM(C244:G244)</x:f>
        <x:v>0</x:v>
      </x:c>
      <x:c r="I244" s="35" t="n">
        <x:f>H244/60</x:f>
        <x:v>0</x:v>
      </x:c>
      <x:c r="J244" s="16" t="str">
        <x:f>IF(I244&gt;=2,"Yes","No")</x:f>
        <x:v>No</x:v>
      </x:c>
    </x:row>
    <x:row r="245">
      <x:c r="A245" s="14" t="n">
        <x:v>46516</x:v>
      </x:c>
      <x:c r="B245" s="16" t="str">
        <x:f>TEXT(A245,"ddd")</x:f>
        <x:v>Sun</x:v>
      </x:c>
      <x:c r="C245" s="16" t="n">
        <x:v>0</x:v>
      </x:c>
      <x:c r="D245" s="16" t="n">
        <x:v>0</x:v>
      </x:c>
      <x:c r="E245" s="16" t="n">
        <x:v>0</x:v>
      </x:c>
      <x:c r="F245" s="16" t="n">
        <x:v>0</x:v>
      </x:c>
      <x:c r="G245" s="16" t="n">
        <x:v>0</x:v>
      </x:c>
      <x:c r="H245" s="16" t="n">
        <x:f>SUM(C245:G245)</x:f>
        <x:v>0</x:v>
      </x:c>
      <x:c r="I245" s="35" t="n">
        <x:f>H245/60</x:f>
        <x:v>0</x:v>
      </x:c>
      <x:c r="J245" s="16" t="str">
        <x:f>IF(I245&gt;=2,"Yes","No")</x:f>
        <x:v>No</x:v>
      </x:c>
    </x:row>
    <x:row r="246">
      <x:c r="A246" s="14" t="n">
        <x:v>46517</x:v>
      </x:c>
      <x:c r="B246" s="16" t="str">
        <x:f>TEXT(A246,"ddd")</x:f>
        <x:v>Mon</x:v>
      </x:c>
      <x:c r="C246" s="16" t="n">
        <x:v>0</x:v>
      </x:c>
      <x:c r="D246" s="16" t="n">
        <x:v>0</x:v>
      </x:c>
      <x:c r="E246" s="16" t="n">
        <x:v>0</x:v>
      </x:c>
      <x:c r="F246" s="16" t="n">
        <x:v>0</x:v>
      </x:c>
      <x:c r="G246" s="16" t="n">
        <x:v>0</x:v>
      </x:c>
      <x:c r="H246" s="16" t="n">
        <x:f>SUM(C246:G246)</x:f>
        <x:v>0</x:v>
      </x:c>
      <x:c r="I246" s="35" t="n">
        <x:f>H246/60</x:f>
        <x:v>0</x:v>
      </x:c>
      <x:c r="J246" s="16" t="str">
        <x:f>IF(I246&gt;=2,"Yes","No")</x:f>
        <x:v>No</x:v>
      </x:c>
    </x:row>
    <x:row r="247">
      <x:c r="A247" s="14" t="n">
        <x:v>46518</x:v>
      </x:c>
      <x:c r="B247" s="16" t="str">
        <x:f>TEXT(A247,"ddd")</x:f>
        <x:v>Tue</x:v>
      </x:c>
      <x:c r="C247" s="16" t="n">
        <x:v>0</x:v>
      </x:c>
      <x:c r="D247" s="16" t="n">
        <x:v>0</x:v>
      </x:c>
      <x:c r="E247" s="16" t="n">
        <x:v>0</x:v>
      </x:c>
      <x:c r="F247" s="16" t="n">
        <x:v>0</x:v>
      </x:c>
      <x:c r="G247" s="16" t="n">
        <x:v>0</x:v>
      </x:c>
      <x:c r="H247" s="16" t="n">
        <x:f>SUM(C247:G247)</x:f>
        <x:v>0</x:v>
      </x:c>
      <x:c r="I247" s="35" t="n">
        <x:f>H247/60</x:f>
        <x:v>0</x:v>
      </x:c>
      <x:c r="J247" s="16" t="str">
        <x:f>IF(I247&gt;=2,"Yes","No")</x:f>
        <x:v>No</x:v>
      </x:c>
    </x:row>
    <x:row r="248">
      <x:c r="A248" s="14" t="n">
        <x:v>46519</x:v>
      </x:c>
      <x:c r="B248" s="16" t="str">
        <x:f>TEXT(A248,"ddd")</x:f>
        <x:v>Wed</x:v>
      </x:c>
      <x:c r="C248" s="16" t="n">
        <x:v>0</x:v>
      </x:c>
      <x:c r="D248" s="16" t="n">
        <x:v>0</x:v>
      </x:c>
      <x:c r="E248" s="16" t="n">
        <x:v>0</x:v>
      </x:c>
      <x:c r="F248" s="16" t="n">
        <x:v>0</x:v>
      </x:c>
      <x:c r="G248" s="16" t="n">
        <x:v>0</x:v>
      </x:c>
      <x:c r="H248" s="16" t="n">
        <x:f>SUM(C248:G248)</x:f>
        <x:v>0</x:v>
      </x:c>
      <x:c r="I248" s="35" t="n">
        <x:f>H248/60</x:f>
        <x:v>0</x:v>
      </x:c>
      <x:c r="J248" s="16" t="str">
        <x:f>IF(I248&gt;=2,"Yes","No")</x:f>
        <x:v>No</x:v>
      </x:c>
    </x:row>
    <x:row r="249">
      <x:c r="A249" s="14" t="n">
        <x:v>46520</x:v>
      </x:c>
      <x:c r="B249" s="16" t="str">
        <x:f>TEXT(A249,"ddd")</x:f>
        <x:v>Thu</x:v>
      </x:c>
      <x:c r="C249" s="16" t="n">
        <x:v>0</x:v>
      </x:c>
      <x:c r="D249" s="16" t="n">
        <x:v>0</x:v>
      </x:c>
      <x:c r="E249" s="16" t="n">
        <x:v>0</x:v>
      </x:c>
      <x:c r="F249" s="16" t="n">
        <x:v>0</x:v>
      </x:c>
      <x:c r="G249" s="16" t="n">
        <x:v>0</x:v>
      </x:c>
      <x:c r="H249" s="16" t="n">
        <x:f>SUM(C249:G249)</x:f>
        <x:v>0</x:v>
      </x:c>
      <x:c r="I249" s="35" t="n">
        <x:f>H249/60</x:f>
        <x:v>0</x:v>
      </x:c>
      <x:c r="J249" s="16" t="str">
        <x:f>IF(I249&gt;=2,"Yes","No")</x:f>
        <x:v>No</x:v>
      </x:c>
    </x:row>
    <x:row r="250">
      <x:c r="A250" s="14" t="n">
        <x:v>46521</x:v>
      </x:c>
      <x:c r="B250" s="16" t="str">
        <x:f>TEXT(A250,"ddd")</x:f>
        <x:v>Fri</x:v>
      </x:c>
      <x:c r="C250" s="16" t="n">
        <x:v>0</x:v>
      </x:c>
      <x:c r="D250" s="16" t="n">
        <x:v>0</x:v>
      </x:c>
      <x:c r="E250" s="16" t="n">
        <x:v>0</x:v>
      </x:c>
      <x:c r="F250" s="16" t="n">
        <x:v>0</x:v>
      </x:c>
      <x:c r="G250" s="16" t="n">
        <x:v>0</x:v>
      </x:c>
      <x:c r="H250" s="16" t="n">
        <x:f>SUM(C250:G250)</x:f>
        <x:v>0</x:v>
      </x:c>
      <x:c r="I250" s="35" t="n">
        <x:f>H250/60</x:f>
        <x:v>0</x:v>
      </x:c>
      <x:c r="J250" s="16" t="str">
        <x:f>IF(I250&gt;=2,"Yes","No")</x:f>
        <x:v>No</x:v>
      </x:c>
    </x:row>
    <x:row r="251">
      <x:c r="A251" s="14" t="n">
        <x:v>46522</x:v>
      </x:c>
      <x:c r="B251" s="16" t="str">
        <x:f>TEXT(A251,"ddd")</x:f>
        <x:v>Sat</x:v>
      </x:c>
      <x:c r="C251" s="16" t="n">
        <x:v>0</x:v>
      </x:c>
      <x:c r="D251" s="16" t="n">
        <x:v>0</x:v>
      </x:c>
      <x:c r="E251" s="16" t="n">
        <x:v>0</x:v>
      </x:c>
      <x:c r="F251" s="16" t="n">
        <x:v>0</x:v>
      </x:c>
      <x:c r="G251" s="16" t="n">
        <x:v>0</x:v>
      </x:c>
      <x:c r="H251" s="16" t="n">
        <x:f>SUM(C251:G251)</x:f>
        <x:v>0</x:v>
      </x:c>
      <x:c r="I251" s="35" t="n">
        <x:f>H251/60</x:f>
        <x:v>0</x:v>
      </x:c>
      <x:c r="J251" s="16" t="str">
        <x:f>IF(I251&gt;=2,"Yes","No")</x:f>
        <x:v>No</x:v>
      </x:c>
    </x:row>
    <x:row r="252">
      <x:c r="A252" s="14" t="n">
        <x:v>46523</x:v>
      </x:c>
      <x:c r="B252" s="16" t="str">
        <x:f>TEXT(A252,"ddd")</x:f>
        <x:v>Sun</x:v>
      </x:c>
      <x:c r="C252" s="16" t="n">
        <x:v>0</x:v>
      </x:c>
      <x:c r="D252" s="16" t="n">
        <x:v>0</x:v>
      </x:c>
      <x:c r="E252" s="16" t="n">
        <x:v>0</x:v>
      </x:c>
      <x:c r="F252" s="16" t="n">
        <x:v>0</x:v>
      </x:c>
      <x:c r="G252" s="16" t="n">
        <x:v>0</x:v>
      </x:c>
      <x:c r="H252" s="16" t="n">
        <x:f>SUM(C252:G252)</x:f>
        <x:v>0</x:v>
      </x:c>
      <x:c r="I252" s="35" t="n">
        <x:f>H252/60</x:f>
        <x:v>0</x:v>
      </x:c>
      <x:c r="J252" s="16" t="str">
        <x:f>IF(I252&gt;=2,"Yes","No")</x:f>
        <x:v>No</x:v>
      </x:c>
    </x:row>
    <x:row r="253">
      <x:c r="A253" s="14" t="n">
        <x:v>46524</x:v>
      </x:c>
      <x:c r="B253" s="16" t="str">
        <x:f>TEXT(A253,"ddd")</x:f>
        <x:v>Mon</x:v>
      </x:c>
      <x:c r="C253" s="16" t="n">
        <x:v>0</x:v>
      </x:c>
      <x:c r="D253" s="16" t="n">
        <x:v>0</x:v>
      </x:c>
      <x:c r="E253" s="16" t="n">
        <x:v>0</x:v>
      </x:c>
      <x:c r="F253" s="16" t="n">
        <x:v>0</x:v>
      </x:c>
      <x:c r="G253" s="16" t="n">
        <x:v>0</x:v>
      </x:c>
      <x:c r="H253" s="16" t="n">
        <x:f>SUM(C253:G253)</x:f>
        <x:v>0</x:v>
      </x:c>
      <x:c r="I253" s="35" t="n">
        <x:f>H253/60</x:f>
        <x:v>0</x:v>
      </x:c>
      <x:c r="J253" s="16" t="str">
        <x:f>IF(I253&gt;=2,"Yes","No")</x:f>
        <x:v>No</x:v>
      </x:c>
    </x:row>
    <x:row r="254">
      <x:c r="A254" s="14" t="n">
        <x:v>46525</x:v>
      </x:c>
      <x:c r="B254" s="16" t="str">
        <x:f>TEXT(A254,"ddd")</x:f>
        <x:v>Tue</x:v>
      </x:c>
      <x:c r="C254" s="16" t="n">
        <x:v>0</x:v>
      </x:c>
      <x:c r="D254" s="16" t="n">
        <x:v>0</x:v>
      </x:c>
      <x:c r="E254" s="16" t="n">
        <x:v>0</x:v>
      </x:c>
      <x:c r="F254" s="16" t="n">
        <x:v>0</x:v>
      </x:c>
      <x:c r="G254" s="16" t="n">
        <x:v>0</x:v>
      </x:c>
      <x:c r="H254" s="16" t="n">
        <x:f>SUM(C254:G254)</x:f>
        <x:v>0</x:v>
      </x:c>
      <x:c r="I254" s="35" t="n">
        <x:f>H254/60</x:f>
        <x:v>0</x:v>
      </x:c>
      <x:c r="J254" s="16" t="str">
        <x:f>IF(I254&gt;=2,"Yes","No")</x:f>
        <x:v>No</x:v>
      </x:c>
    </x:row>
    <x:row r="255">
      <x:c r="A255" s="14" t="n">
        <x:v>46526</x:v>
      </x:c>
      <x:c r="B255" s="16" t="str">
        <x:f>TEXT(A255,"ddd")</x:f>
        <x:v>Wed</x:v>
      </x:c>
      <x:c r="C255" s="16" t="n">
        <x:v>0</x:v>
      </x:c>
      <x:c r="D255" s="16" t="n">
        <x:v>0</x:v>
      </x:c>
      <x:c r="E255" s="16" t="n">
        <x:v>0</x:v>
      </x:c>
      <x:c r="F255" s="16" t="n">
        <x:v>0</x:v>
      </x:c>
      <x:c r="G255" s="16" t="n">
        <x:v>0</x:v>
      </x:c>
      <x:c r="H255" s="16" t="n">
        <x:f>SUM(C255:G255)</x:f>
        <x:v>0</x:v>
      </x:c>
      <x:c r="I255" s="35" t="n">
        <x:f>H255/60</x:f>
        <x:v>0</x:v>
      </x:c>
      <x:c r="J255" s="16" t="str">
        <x:f>IF(I255&gt;=2,"Yes","No")</x:f>
        <x:v>No</x:v>
      </x:c>
    </x:row>
    <x:row r="256">
      <x:c r="A256" s="14" t="n">
        <x:v>46527</x:v>
      </x:c>
      <x:c r="B256" s="16" t="str">
        <x:f>TEXT(A256,"ddd")</x:f>
        <x:v>Thu</x:v>
      </x:c>
      <x:c r="C256" s="16" t="n">
        <x:v>0</x:v>
      </x:c>
      <x:c r="D256" s="16" t="n">
        <x:v>0</x:v>
      </x:c>
      <x:c r="E256" s="16" t="n">
        <x:v>0</x:v>
      </x:c>
      <x:c r="F256" s="16" t="n">
        <x:v>0</x:v>
      </x:c>
      <x:c r="G256" s="16" t="n">
        <x:v>0</x:v>
      </x:c>
      <x:c r="H256" s="16" t="n">
        <x:f>SUM(C256:G256)</x:f>
        <x:v>0</x:v>
      </x:c>
      <x:c r="I256" s="35" t="n">
        <x:f>H256/60</x:f>
        <x:v>0</x:v>
      </x:c>
      <x:c r="J256" s="16" t="str">
        <x:f>IF(I256&gt;=2,"Yes","No")</x:f>
        <x:v>No</x:v>
      </x:c>
    </x:row>
    <x:row r="257">
      <x:c r="A257" s="14" t="n">
        <x:v>46528</x:v>
      </x:c>
      <x:c r="B257" s="16" t="str">
        <x:f>TEXT(A257,"ddd")</x:f>
        <x:v>Fri</x:v>
      </x:c>
      <x:c r="C257" s="16" t="n">
        <x:v>0</x:v>
      </x:c>
      <x:c r="D257" s="16" t="n">
        <x:v>0</x:v>
      </x:c>
      <x:c r="E257" s="16" t="n">
        <x:v>0</x:v>
      </x:c>
      <x:c r="F257" s="16" t="n">
        <x:v>0</x:v>
      </x:c>
      <x:c r="G257" s="16" t="n">
        <x:v>0</x:v>
      </x:c>
      <x:c r="H257" s="16" t="n">
        <x:f>SUM(C257:G257)</x:f>
        <x:v>0</x:v>
      </x:c>
      <x:c r="I257" s="35" t="n">
        <x:f>H257/60</x:f>
        <x:v>0</x:v>
      </x:c>
      <x:c r="J257" s="16" t="str">
        <x:f>IF(I257&gt;=2,"Yes","No")</x:f>
        <x:v>No</x:v>
      </x:c>
    </x:row>
    <x:row r="258">
      <x:c r="A258" s="14" t="n">
        <x:v>46529</x:v>
      </x:c>
      <x:c r="B258" s="16" t="str">
        <x:f>TEXT(A258,"ddd")</x:f>
        <x:v>Sat</x:v>
      </x:c>
      <x:c r="C258" s="16" t="n">
        <x:v>0</x:v>
      </x:c>
      <x:c r="D258" s="16" t="n">
        <x:v>0</x:v>
      </x:c>
      <x:c r="E258" s="16" t="n">
        <x:v>0</x:v>
      </x:c>
      <x:c r="F258" s="16" t="n">
        <x:v>0</x:v>
      </x:c>
      <x:c r="G258" s="16" t="n">
        <x:v>0</x:v>
      </x:c>
      <x:c r="H258" s="16" t="n">
        <x:f>SUM(C258:G258)</x:f>
        <x:v>0</x:v>
      </x:c>
      <x:c r="I258" s="35" t="n">
        <x:f>H258/60</x:f>
        <x:v>0</x:v>
      </x:c>
      <x:c r="J258" s="16" t="str">
        <x:f>IF(I258&gt;=2,"Yes","No")</x:f>
        <x:v>No</x:v>
      </x:c>
    </x:row>
    <x:row r="259">
      <x:c r="A259" s="14" t="n">
        <x:v>46530</x:v>
      </x:c>
      <x:c r="B259" s="16" t="str">
        <x:f>TEXT(A259,"ddd")</x:f>
        <x:v>Sun</x:v>
      </x:c>
      <x:c r="C259" s="16" t="n">
        <x:v>0</x:v>
      </x:c>
      <x:c r="D259" s="16" t="n">
        <x:v>0</x:v>
      </x:c>
      <x:c r="E259" s="16" t="n">
        <x:v>0</x:v>
      </x:c>
      <x:c r="F259" s="16" t="n">
        <x:v>0</x:v>
      </x:c>
      <x:c r="G259" s="16" t="n">
        <x:v>0</x:v>
      </x:c>
      <x:c r="H259" s="16" t="n">
        <x:f>SUM(C259:G259)</x:f>
        <x:v>0</x:v>
      </x:c>
      <x:c r="I259" s="35" t="n">
        <x:f>H259/60</x:f>
        <x:v>0</x:v>
      </x:c>
      <x:c r="J259" s="16" t="str">
        <x:f>IF(I259&gt;=2,"Yes","No")</x:f>
        <x:v>No</x:v>
      </x:c>
    </x:row>
    <x:row r="260">
      <x:c r="A260" s="14" t="n">
        <x:v>46531</x:v>
      </x:c>
      <x:c r="B260" s="16" t="str">
        <x:f>TEXT(A260,"ddd")</x:f>
        <x:v>Mon</x:v>
      </x:c>
      <x:c r="C260" s="16" t="n">
        <x:v>0</x:v>
      </x:c>
      <x:c r="D260" s="16" t="n">
        <x:v>0</x:v>
      </x:c>
      <x:c r="E260" s="16" t="n">
        <x:v>0</x:v>
      </x:c>
      <x:c r="F260" s="16" t="n">
        <x:v>0</x:v>
      </x:c>
      <x:c r="G260" s="16" t="n">
        <x:v>0</x:v>
      </x:c>
      <x:c r="H260" s="16" t="n">
        <x:f>SUM(C260:G260)</x:f>
        <x:v>0</x:v>
      </x:c>
      <x:c r="I260" s="35" t="n">
        <x:f>H260/60</x:f>
        <x:v>0</x:v>
      </x:c>
      <x:c r="J260" s="16" t="str">
        <x:f>IF(I260&gt;=2,"Yes","No")</x:f>
        <x:v>No</x:v>
      </x:c>
    </x:row>
    <x:row r="261">
      <x:c r="A261" s="14" t="n">
        <x:v>46532</x:v>
      </x:c>
      <x:c r="B261" s="16" t="str">
        <x:f>TEXT(A261,"ddd")</x:f>
        <x:v>Tue</x:v>
      </x:c>
      <x:c r="C261" s="16" t="n">
        <x:v>0</x:v>
      </x:c>
      <x:c r="D261" s="16" t="n">
        <x:v>0</x:v>
      </x:c>
      <x:c r="E261" s="16" t="n">
        <x:v>0</x:v>
      </x:c>
      <x:c r="F261" s="16" t="n">
        <x:v>0</x:v>
      </x:c>
      <x:c r="G261" s="16" t="n">
        <x:v>0</x:v>
      </x:c>
      <x:c r="H261" s="16" t="n">
        <x:f>SUM(C261:G261)</x:f>
        <x:v>0</x:v>
      </x:c>
      <x:c r="I261" s="35" t="n">
        <x:f>H261/60</x:f>
        <x:v>0</x:v>
      </x:c>
      <x:c r="J261" s="16" t="str">
        <x:f>IF(I261&gt;=2,"Yes","No")</x:f>
        <x:v>No</x:v>
      </x:c>
    </x:row>
    <x:row r="262">
      <x:c r="A262" s="14" t="n">
        <x:v>46533</x:v>
      </x:c>
      <x:c r="B262" s="16" t="str">
        <x:f>TEXT(A262,"ddd")</x:f>
        <x:v>Wed</x:v>
      </x:c>
      <x:c r="C262" s="16" t="n">
        <x:v>0</x:v>
      </x:c>
      <x:c r="D262" s="16" t="n">
        <x:v>0</x:v>
      </x:c>
      <x:c r="E262" s="16" t="n">
        <x:v>0</x:v>
      </x:c>
      <x:c r="F262" s="16" t="n">
        <x:v>0</x:v>
      </x:c>
      <x:c r="G262" s="16" t="n">
        <x:v>0</x:v>
      </x:c>
      <x:c r="H262" s="16" t="n">
        <x:f>SUM(C262:G262)</x:f>
        <x:v>0</x:v>
      </x:c>
      <x:c r="I262" s="35" t="n">
        <x:f>H262/60</x:f>
        <x:v>0</x:v>
      </x:c>
      <x:c r="J262" s="16" t="str">
        <x:f>IF(I262&gt;=2,"Yes","No")</x:f>
        <x:v>No</x:v>
      </x:c>
    </x:row>
    <x:row r="263">
      <x:c r="A263" s="14" t="n">
        <x:v>46534</x:v>
      </x:c>
      <x:c r="B263" s="16" t="str">
        <x:f>TEXT(A263,"ddd")</x:f>
        <x:v>Thu</x:v>
      </x:c>
      <x:c r="C263" s="16" t="n">
        <x:v>0</x:v>
      </x:c>
      <x:c r="D263" s="16" t="n">
        <x:v>0</x:v>
      </x:c>
      <x:c r="E263" s="16" t="n">
        <x:v>0</x:v>
      </x:c>
      <x:c r="F263" s="16" t="n">
        <x:v>0</x:v>
      </x:c>
      <x:c r="G263" s="16" t="n">
        <x:v>0</x:v>
      </x:c>
      <x:c r="H263" s="16" t="n">
        <x:f>SUM(C263:G263)</x:f>
        <x:v>0</x:v>
      </x:c>
      <x:c r="I263" s="35" t="n">
        <x:f>H263/60</x:f>
        <x:v>0</x:v>
      </x:c>
      <x:c r="J263" s="16" t="str">
        <x:f>IF(I263&gt;=2,"Yes","No")</x:f>
        <x:v>No</x:v>
      </x:c>
    </x:row>
    <x:row r="264">
      <x:c r="A264" s="14" t="n">
        <x:v>46535</x:v>
      </x:c>
      <x:c r="B264" s="16" t="str">
        <x:f>TEXT(A264,"ddd")</x:f>
        <x:v>Fri</x:v>
      </x:c>
      <x:c r="C264" s="16" t="n">
        <x:v>0</x:v>
      </x:c>
      <x:c r="D264" s="16" t="n">
        <x:v>0</x:v>
      </x:c>
      <x:c r="E264" s="16" t="n">
        <x:v>0</x:v>
      </x:c>
      <x:c r="F264" s="16" t="n">
        <x:v>0</x:v>
      </x:c>
      <x:c r="G264" s="16" t="n">
        <x:v>0</x:v>
      </x:c>
      <x:c r="H264" s="16" t="n">
        <x:f>SUM(C264:G264)</x:f>
        <x:v>0</x:v>
      </x:c>
      <x:c r="I264" s="35" t="n">
        <x:f>H264/60</x:f>
        <x:v>0</x:v>
      </x:c>
      <x:c r="J264" s="16" t="str">
        <x:f>IF(I264&gt;=2,"Yes","No")</x:f>
        <x:v>No</x:v>
      </x:c>
    </x:row>
    <x:row r="265">
      <x:c r="A265" s="14" t="n">
        <x:v>46536</x:v>
      </x:c>
      <x:c r="B265" s="16" t="str">
        <x:f>TEXT(A265,"ddd")</x:f>
        <x:v>Sat</x:v>
      </x:c>
      <x:c r="C265" s="16" t="n">
        <x:v>0</x:v>
      </x:c>
      <x:c r="D265" s="16" t="n">
        <x:v>0</x:v>
      </x:c>
      <x:c r="E265" s="16" t="n">
        <x:v>0</x:v>
      </x:c>
      <x:c r="F265" s="16" t="n">
        <x:v>0</x:v>
      </x:c>
      <x:c r="G265" s="16" t="n">
        <x:v>0</x:v>
      </x:c>
      <x:c r="H265" s="16" t="n">
        <x:f>SUM(C265:G265)</x:f>
        <x:v>0</x:v>
      </x:c>
      <x:c r="I265" s="35" t="n">
        <x:f>H265/60</x:f>
        <x:v>0</x:v>
      </x:c>
      <x:c r="J265" s="16" t="str">
        <x:f>IF(I265&gt;=2,"Yes","No")</x:f>
        <x:v>No</x:v>
      </x:c>
    </x:row>
    <x:row r="266">
      <x:c r="A266" s="14" t="n">
        <x:v>46537</x:v>
      </x:c>
      <x:c r="B266" s="16" t="str">
        <x:f>TEXT(A266,"ddd")</x:f>
        <x:v>Sun</x:v>
      </x:c>
      <x:c r="C266" s="16" t="n">
        <x:v>0</x:v>
      </x:c>
      <x:c r="D266" s="16" t="n">
        <x:v>0</x:v>
      </x:c>
      <x:c r="E266" s="16" t="n">
        <x:v>0</x:v>
      </x:c>
      <x:c r="F266" s="16" t="n">
        <x:v>0</x:v>
      </x:c>
      <x:c r="G266" s="16" t="n">
        <x:v>0</x:v>
      </x:c>
      <x:c r="H266" s="16" t="n">
        <x:f>SUM(C266:G266)</x:f>
        <x:v>0</x:v>
      </x:c>
      <x:c r="I266" s="35" t="n">
        <x:f>H266/60</x:f>
        <x:v>0</x:v>
      </x:c>
      <x:c r="J266" s="16" t="str">
        <x:f>IF(I266&gt;=2,"Yes","No")</x:f>
        <x:v>No</x:v>
      </x:c>
    </x:row>
    <x:row r="267">
      <x:c r="A267" s="14" t="n">
        <x:v>46538</x:v>
      </x:c>
      <x:c r="B267" s="16" t="str">
        <x:f>TEXT(A267,"ddd")</x:f>
        <x:v>Mon</x:v>
      </x:c>
      <x:c r="C267" s="16" t="n">
        <x:v>0</x:v>
      </x:c>
      <x:c r="D267" s="16" t="n">
        <x:v>0</x:v>
      </x:c>
      <x:c r="E267" s="16" t="n">
        <x:v>0</x:v>
      </x:c>
      <x:c r="F267" s="16" t="n">
        <x:v>0</x:v>
      </x:c>
      <x:c r="G267" s="16" t="n">
        <x:v>0</x:v>
      </x:c>
      <x:c r="H267" s="16" t="n">
        <x:f>SUM(C267:G267)</x:f>
        <x:v>0</x:v>
      </x:c>
      <x:c r="I267" s="35" t="n">
        <x:f>H267/60</x:f>
        <x:v>0</x:v>
      </x:c>
      <x:c r="J267" s="16" t="str">
        <x:f>IF(I267&gt;=2,"Yes","No")</x:f>
        <x:v>No</x:v>
      </x:c>
    </x:row>
    <x:row r="268">
      <x:c r="A268" s="14" t="n">
        <x:v>46539</x:v>
      </x:c>
      <x:c r="B268" s="16" t="str">
        <x:f>TEXT(A268,"ddd")</x:f>
        <x:v>Tue</x:v>
      </x:c>
      <x:c r="C268" s="16" t="n">
        <x:v>0</x:v>
      </x:c>
      <x:c r="D268" s="16" t="n">
        <x:v>0</x:v>
      </x:c>
      <x:c r="E268" s="16" t="n">
        <x:v>0</x:v>
      </x:c>
      <x:c r="F268" s="16" t="n">
        <x:v>0</x:v>
      </x:c>
      <x:c r="G268" s="16" t="n">
        <x:v>0</x:v>
      </x:c>
      <x:c r="H268" s="16" t="n">
        <x:f>SUM(C268:G268)</x:f>
        <x:v>0</x:v>
      </x:c>
      <x:c r="I268" s="35" t="n">
        <x:f>H268/60</x:f>
        <x:v>0</x:v>
      </x:c>
      <x:c r="J268" s="16" t="str">
        <x:f>IF(I268&gt;=2,"Yes","No")</x:f>
        <x:v>No</x:v>
      </x:c>
    </x:row>
    <x:row r="269">
      <x:c r="A269" s="14" t="n">
        <x:v>46540</x:v>
      </x:c>
      <x:c r="B269" s="16" t="str">
        <x:f>TEXT(A269,"ddd")</x:f>
        <x:v>Wed</x:v>
      </x:c>
      <x:c r="C269" s="16" t="n">
        <x:v>0</x:v>
      </x:c>
      <x:c r="D269" s="16" t="n">
        <x:v>0</x:v>
      </x:c>
      <x:c r="E269" s="16" t="n">
        <x:v>0</x:v>
      </x:c>
      <x:c r="F269" s="16" t="n">
        <x:v>0</x:v>
      </x:c>
      <x:c r="G269" s="16" t="n">
        <x:v>0</x:v>
      </x:c>
      <x:c r="H269" s="16" t="n">
        <x:f>SUM(C269:G269)</x:f>
        <x:v>0</x:v>
      </x:c>
      <x:c r="I269" s="35" t="n">
        <x:f>H269/60</x:f>
        <x:v>0</x:v>
      </x:c>
      <x:c r="J269" s="16" t="str">
        <x:f>IF(I269&gt;=2,"Yes","No")</x:f>
        <x:v>No</x:v>
      </x:c>
    </x:row>
    <x:row r="270">
      <x:c r="A270" s="14" t="n">
        <x:v>46541</x:v>
      </x:c>
      <x:c r="B270" s="16" t="str">
        <x:f>TEXT(A270,"ddd")</x:f>
        <x:v>Thu</x:v>
      </x:c>
      <x:c r="C270" s="16" t="n">
        <x:v>0</x:v>
      </x:c>
      <x:c r="D270" s="16" t="n">
        <x:v>0</x:v>
      </x:c>
      <x:c r="E270" s="16" t="n">
        <x:v>0</x:v>
      </x:c>
      <x:c r="F270" s="16" t="n">
        <x:v>0</x:v>
      </x:c>
      <x:c r="G270" s="16" t="n">
        <x:v>0</x:v>
      </x:c>
      <x:c r="H270" s="16" t="n">
        <x:f>SUM(C270:G270)</x:f>
        <x:v>0</x:v>
      </x:c>
      <x:c r="I270" s="35" t="n">
        <x:f>H270/60</x:f>
        <x:v>0</x:v>
      </x:c>
      <x:c r="J270" s="16" t="str">
        <x:f>IF(I270&gt;=2,"Yes","No")</x:f>
        <x:v>No</x:v>
      </x:c>
    </x:row>
    <x:row r="271">
      <x:c r="A271" s="14" t="n">
        <x:v>46542</x:v>
      </x:c>
      <x:c r="B271" s="16" t="str">
        <x:f>TEXT(A271,"ddd")</x:f>
        <x:v>Fri</x:v>
      </x:c>
      <x:c r="C271" s="16" t="n">
        <x:v>0</x:v>
      </x:c>
      <x:c r="D271" s="16" t="n">
        <x:v>0</x:v>
      </x:c>
      <x:c r="E271" s="16" t="n">
        <x:v>0</x:v>
      </x:c>
      <x:c r="F271" s="16" t="n">
        <x:v>0</x:v>
      </x:c>
      <x:c r="G271" s="16" t="n">
        <x:v>0</x:v>
      </x:c>
      <x:c r="H271" s="16" t="n">
        <x:f>SUM(C271:G271)</x:f>
        <x:v>0</x:v>
      </x:c>
      <x:c r="I271" s="35" t="n">
        <x:f>H271/60</x:f>
        <x:v>0</x:v>
      </x:c>
      <x:c r="J271" s="16" t="str">
        <x:f>IF(I271&gt;=2,"Yes","No")</x:f>
        <x:v>No</x:v>
      </x:c>
    </x:row>
    <x:row r="272">
      <x:c r="A272" s="14" t="n">
        <x:v>46543</x:v>
      </x:c>
      <x:c r="B272" s="16" t="str">
        <x:f>TEXT(A272,"ddd")</x:f>
        <x:v>Sat</x:v>
      </x:c>
      <x:c r="C272" s="16" t="n">
        <x:v>0</x:v>
      </x:c>
      <x:c r="D272" s="16" t="n">
        <x:v>0</x:v>
      </x:c>
      <x:c r="E272" s="16" t="n">
        <x:v>0</x:v>
      </x:c>
      <x:c r="F272" s="16" t="n">
        <x:v>0</x:v>
      </x:c>
      <x:c r="G272" s="16" t="n">
        <x:v>0</x:v>
      </x:c>
      <x:c r="H272" s="16" t="n">
        <x:f>SUM(C272:G272)</x:f>
        <x:v>0</x:v>
      </x:c>
      <x:c r="I272" s="35" t="n">
        <x:f>H272/60</x:f>
        <x:v>0</x:v>
      </x:c>
      <x:c r="J272" s="16" t="str">
        <x:f>IF(I272&gt;=2,"Yes","No")</x:f>
        <x:v>No</x:v>
      </x:c>
    </x:row>
    <x:row r="273">
      <x:c r="A273" s="14" t="n">
        <x:v>46544</x:v>
      </x:c>
      <x:c r="B273" s="16" t="str">
        <x:f>TEXT(A273,"ddd")</x:f>
        <x:v>Sun</x:v>
      </x:c>
      <x:c r="C273" s="16" t="n">
        <x:v>0</x:v>
      </x:c>
      <x:c r="D273" s="16" t="n">
        <x:v>0</x:v>
      </x:c>
      <x:c r="E273" s="16" t="n">
        <x:v>0</x:v>
      </x:c>
      <x:c r="F273" s="16" t="n">
        <x:v>0</x:v>
      </x:c>
      <x:c r="G273" s="16" t="n">
        <x:v>0</x:v>
      </x:c>
      <x:c r="H273" s="16" t="n">
        <x:f>SUM(C273:G273)</x:f>
        <x:v>0</x:v>
      </x:c>
      <x:c r="I273" s="35" t="n">
        <x:f>H273/60</x:f>
        <x:v>0</x:v>
      </x:c>
      <x:c r="J273" s="16" t="str">
        <x:f>IF(I273&gt;=2,"Yes","No")</x:f>
        <x:v>No</x:v>
      </x:c>
    </x:row>
    <x:row r="274">
      <x:c r="A274" s="14" t="n">
        <x:v>46545</x:v>
      </x:c>
      <x:c r="B274" s="16" t="str">
        <x:f>TEXT(A274,"ddd")</x:f>
        <x:v>Mon</x:v>
      </x:c>
      <x:c r="C274" s="16" t="n">
        <x:v>0</x:v>
      </x:c>
      <x:c r="D274" s="16" t="n">
        <x:v>0</x:v>
      </x:c>
      <x:c r="E274" s="16" t="n">
        <x:v>0</x:v>
      </x:c>
      <x:c r="F274" s="16" t="n">
        <x:v>0</x:v>
      </x:c>
      <x:c r="G274" s="16" t="n">
        <x:v>0</x:v>
      </x:c>
      <x:c r="H274" s="16" t="n">
        <x:f>SUM(C274:G274)</x:f>
        <x:v>0</x:v>
      </x:c>
      <x:c r="I274" s="35" t="n">
        <x:f>H274/60</x:f>
        <x:v>0</x:v>
      </x:c>
      <x:c r="J274" s="16" t="str">
        <x:f>IF(I274&gt;=2,"Yes","No")</x:f>
        <x:v>No</x:v>
      </x:c>
    </x:row>
    <x:row r="275">
      <x:c r="A275" s="14" t="n">
        <x:v>46546</x:v>
      </x:c>
      <x:c r="B275" s="16" t="str">
        <x:f>TEXT(A275,"ddd")</x:f>
        <x:v>Tue</x:v>
      </x:c>
      <x:c r="C275" s="16" t="n">
        <x:v>0</x:v>
      </x:c>
      <x:c r="D275" s="16" t="n">
        <x:v>0</x:v>
      </x:c>
      <x:c r="E275" s="16" t="n">
        <x:v>0</x:v>
      </x:c>
      <x:c r="F275" s="16" t="n">
        <x:v>0</x:v>
      </x:c>
      <x:c r="G275" s="16" t="n">
        <x:v>0</x:v>
      </x:c>
      <x:c r="H275" s="16" t="n">
        <x:f>SUM(C275:G275)</x:f>
        <x:v>0</x:v>
      </x:c>
      <x:c r="I275" s="35" t="n">
        <x:f>H275/60</x:f>
        <x:v>0</x:v>
      </x:c>
      <x:c r="J275" s="16" t="str">
        <x:f>IF(I275&gt;=2,"Yes","No")</x:f>
        <x:v>No</x:v>
      </x:c>
    </x:row>
    <x:row r="276">
      <x:c r="A276" s="14" t="n">
        <x:v>46547</x:v>
      </x:c>
      <x:c r="B276" s="16" t="str">
        <x:f>TEXT(A276,"ddd")</x:f>
        <x:v>Wed</x:v>
      </x:c>
      <x:c r="C276" s="16" t="n">
        <x:v>0</x:v>
      </x:c>
      <x:c r="D276" s="16" t="n">
        <x:v>0</x:v>
      </x:c>
      <x:c r="E276" s="16" t="n">
        <x:v>0</x:v>
      </x:c>
      <x:c r="F276" s="16" t="n">
        <x:v>0</x:v>
      </x:c>
      <x:c r="G276" s="16" t="n">
        <x:v>0</x:v>
      </x:c>
      <x:c r="H276" s="16" t="n">
        <x:f>SUM(C276:G276)</x:f>
        <x:v>0</x:v>
      </x:c>
      <x:c r="I276" s="35" t="n">
        <x:f>H276/60</x:f>
        <x:v>0</x:v>
      </x:c>
      <x:c r="J276" s="16" t="str">
        <x:f>IF(I276&gt;=2,"Yes","No")</x:f>
        <x:v>No</x:v>
      </x:c>
    </x:row>
    <x:row r="277">
      <x:c r="A277" s="14" t="n">
        <x:v>46548</x:v>
      </x:c>
      <x:c r="B277" s="16" t="str">
        <x:f>TEXT(A277,"ddd")</x:f>
        <x:v>Thu</x:v>
      </x:c>
      <x:c r="C277" s="16" t="n">
        <x:v>0</x:v>
      </x:c>
      <x:c r="D277" s="16" t="n">
        <x:v>0</x:v>
      </x:c>
      <x:c r="E277" s="16" t="n">
        <x:v>0</x:v>
      </x:c>
      <x:c r="F277" s="16" t="n">
        <x:v>0</x:v>
      </x:c>
      <x:c r="G277" s="16" t="n">
        <x:v>0</x:v>
      </x:c>
      <x:c r="H277" s="16" t="n">
        <x:f>SUM(C277:G277)</x:f>
        <x:v>0</x:v>
      </x:c>
      <x:c r="I277" s="35" t="n">
        <x:f>H277/60</x:f>
        <x:v>0</x:v>
      </x:c>
      <x:c r="J277" s="16" t="str">
        <x:f>IF(I277&gt;=2,"Yes","No")</x:f>
        <x:v>No</x:v>
      </x:c>
    </x:row>
    <x:row r="278">
      <x:c r="A278" s="14" t="n">
        <x:v>46549</x:v>
      </x:c>
      <x:c r="B278" s="16" t="str">
        <x:f>TEXT(A278,"ddd")</x:f>
        <x:v>Fri</x:v>
      </x:c>
      <x:c r="C278" s="16" t="n">
        <x:v>0</x:v>
      </x:c>
      <x:c r="D278" s="16" t="n">
        <x:v>0</x:v>
      </x:c>
      <x:c r="E278" s="16" t="n">
        <x:v>0</x:v>
      </x:c>
      <x:c r="F278" s="16" t="n">
        <x:v>0</x:v>
      </x:c>
      <x:c r="G278" s="16" t="n">
        <x:v>0</x:v>
      </x:c>
      <x:c r="H278" s="16" t="n">
        <x:f>SUM(C278:G278)</x:f>
        <x:v>0</x:v>
      </x:c>
      <x:c r="I278" s="35" t="n">
        <x:f>H278/60</x:f>
        <x:v>0</x:v>
      </x:c>
      <x:c r="J278" s="16" t="str">
        <x:f>IF(I278&gt;=2,"Yes","No")</x:f>
        <x:v>No</x:v>
      </x:c>
    </x:row>
    <x:row r="279">
      <x:c r="A279" s="14" t="n">
        <x:v>46550</x:v>
      </x:c>
      <x:c r="B279" s="16" t="str">
        <x:f>TEXT(A279,"ddd")</x:f>
        <x:v>Sat</x:v>
      </x:c>
      <x:c r="C279" s="16" t="n">
        <x:v>0</x:v>
      </x:c>
      <x:c r="D279" s="16" t="n">
        <x:v>0</x:v>
      </x:c>
      <x:c r="E279" s="16" t="n">
        <x:v>0</x:v>
      </x:c>
      <x:c r="F279" s="16" t="n">
        <x:v>0</x:v>
      </x:c>
      <x:c r="G279" s="16" t="n">
        <x:v>0</x:v>
      </x:c>
      <x:c r="H279" s="16" t="n">
        <x:f>SUM(C279:G279)</x:f>
        <x:v>0</x:v>
      </x:c>
      <x:c r="I279" s="35" t="n">
        <x:f>H279/60</x:f>
        <x:v>0</x:v>
      </x:c>
      <x:c r="J279" s="16" t="str">
        <x:f>IF(I279&gt;=2,"Yes","No")</x:f>
        <x:v>No</x:v>
      </x:c>
    </x:row>
    <x:row r="280">
      <x:c r="A280" s="14" t="n">
        <x:v>46551</x:v>
      </x:c>
      <x:c r="B280" s="16" t="str">
        <x:f>TEXT(A280,"ddd")</x:f>
        <x:v>Sun</x:v>
      </x:c>
      <x:c r="C280" s="16" t="n">
        <x:v>0</x:v>
      </x:c>
      <x:c r="D280" s="16" t="n">
        <x:v>0</x:v>
      </x:c>
      <x:c r="E280" s="16" t="n">
        <x:v>0</x:v>
      </x:c>
      <x:c r="F280" s="16" t="n">
        <x:v>0</x:v>
      </x:c>
      <x:c r="G280" s="16" t="n">
        <x:v>0</x:v>
      </x:c>
      <x:c r="H280" s="16" t="n">
        <x:f>SUM(C280:G280)</x:f>
        <x:v>0</x:v>
      </x:c>
      <x:c r="I280" s="35" t="n">
        <x:f>H280/60</x:f>
        <x:v>0</x:v>
      </x:c>
      <x:c r="J280" s="16" t="str">
        <x:f>IF(I280&gt;=2,"Yes","No")</x:f>
        <x:v>No</x:v>
      </x:c>
    </x:row>
    <x:row r="281">
      <x:c r="A281" s="14" t="n">
        <x:v>46552</x:v>
      </x:c>
      <x:c r="B281" s="16" t="str">
        <x:f>TEXT(A281,"ddd")</x:f>
        <x:v>Mon</x:v>
      </x:c>
      <x:c r="C281" s="16" t="n">
        <x:v>0</x:v>
      </x:c>
      <x:c r="D281" s="16" t="n">
        <x:v>0</x:v>
      </x:c>
      <x:c r="E281" s="16" t="n">
        <x:v>0</x:v>
      </x:c>
      <x:c r="F281" s="16" t="n">
        <x:v>0</x:v>
      </x:c>
      <x:c r="G281" s="16" t="n">
        <x:v>0</x:v>
      </x:c>
      <x:c r="H281" s="16" t="n">
        <x:f>SUM(C281:G281)</x:f>
        <x:v>0</x:v>
      </x:c>
      <x:c r="I281" s="35" t="n">
        <x:f>H281/60</x:f>
        <x:v>0</x:v>
      </x:c>
      <x:c r="J281" s="16" t="str">
        <x:f>IF(I281&gt;=2,"Yes","No")</x:f>
        <x:v>No</x:v>
      </x:c>
    </x:row>
    <x:row r="282">
      <x:c r="A282" s="14" t="n">
        <x:v>46553</x:v>
      </x:c>
      <x:c r="B282" s="16" t="str">
        <x:f>TEXT(A282,"ddd")</x:f>
        <x:v>Tue</x:v>
      </x:c>
      <x:c r="C282" s="16" t="n">
        <x:v>0</x:v>
      </x:c>
      <x:c r="D282" s="16" t="n">
        <x:v>0</x:v>
      </x:c>
      <x:c r="E282" s="16" t="n">
        <x:v>0</x:v>
      </x:c>
      <x:c r="F282" s="16" t="n">
        <x:v>0</x:v>
      </x:c>
      <x:c r="G282" s="16" t="n">
        <x:v>0</x:v>
      </x:c>
      <x:c r="H282" s="16" t="n">
        <x:f>SUM(C282:G282)</x:f>
        <x:v>0</x:v>
      </x:c>
      <x:c r="I282" s="35" t="n">
        <x:f>H282/60</x:f>
        <x:v>0</x:v>
      </x:c>
      <x:c r="J282" s="16" t="str">
        <x:f>IF(I282&gt;=2,"Yes","No")</x:f>
        <x:v>No</x:v>
      </x:c>
    </x:row>
    <x:row r="283">
      <x:c r="A283" s="14" t="n">
        <x:v>46554</x:v>
      </x:c>
      <x:c r="B283" s="16" t="str">
        <x:f>TEXT(A283,"ddd")</x:f>
        <x:v>Wed</x:v>
      </x:c>
      <x:c r="C283" s="16" t="n">
        <x:v>0</x:v>
      </x:c>
      <x:c r="D283" s="16" t="n">
        <x:v>0</x:v>
      </x:c>
      <x:c r="E283" s="16" t="n">
        <x:v>0</x:v>
      </x:c>
      <x:c r="F283" s="16" t="n">
        <x:v>0</x:v>
      </x:c>
      <x:c r="G283" s="16" t="n">
        <x:v>0</x:v>
      </x:c>
      <x:c r="H283" s="16" t="n">
        <x:f>SUM(C283:G283)</x:f>
        <x:v>0</x:v>
      </x:c>
      <x:c r="I283" s="35" t="n">
        <x:f>H283/60</x:f>
        <x:v>0</x:v>
      </x:c>
      <x:c r="J283" s="16" t="str">
        <x:f>IF(I283&gt;=2,"Yes","No")</x:f>
        <x:v>No</x:v>
      </x:c>
    </x:row>
    <x:row r="284">
      <x:c r="A284" s="14" t="n">
        <x:v>46555</x:v>
      </x:c>
      <x:c r="B284" s="16" t="str">
        <x:f>TEXT(A284,"ddd")</x:f>
        <x:v>Thu</x:v>
      </x:c>
      <x:c r="C284" s="16" t="n">
        <x:v>0</x:v>
      </x:c>
      <x:c r="D284" s="16" t="n">
        <x:v>0</x:v>
      </x:c>
      <x:c r="E284" s="16" t="n">
        <x:v>0</x:v>
      </x:c>
      <x:c r="F284" s="16" t="n">
        <x:v>0</x:v>
      </x:c>
      <x:c r="G284" s="16" t="n">
        <x:v>0</x:v>
      </x:c>
      <x:c r="H284" s="16" t="n">
        <x:f>SUM(C284:G284)</x:f>
        <x:v>0</x:v>
      </x:c>
      <x:c r="I284" s="35" t="n">
        <x:f>H284/60</x:f>
        <x:v>0</x:v>
      </x:c>
      <x:c r="J284" s="16" t="str">
        <x:f>IF(I284&gt;=2,"Yes","No")</x:f>
        <x:v>No</x:v>
      </x:c>
    </x:row>
    <x:row r="285">
      <x:c r="A285" s="14" t="n">
        <x:v>46556</x:v>
      </x:c>
      <x:c r="B285" s="16" t="str">
        <x:f>TEXT(A285,"ddd")</x:f>
        <x:v>Fri</x:v>
      </x:c>
      <x:c r="C285" s="16" t="n">
        <x:v>0</x:v>
      </x:c>
      <x:c r="D285" s="16" t="n">
        <x:v>0</x:v>
      </x:c>
      <x:c r="E285" s="16" t="n">
        <x:v>0</x:v>
      </x:c>
      <x:c r="F285" s="16" t="n">
        <x:v>0</x:v>
      </x:c>
      <x:c r="G285" s="16" t="n">
        <x:v>0</x:v>
      </x:c>
      <x:c r="H285" s="16" t="n">
        <x:f>SUM(C285:G285)</x:f>
        <x:v>0</x:v>
      </x:c>
      <x:c r="I285" s="35" t="n">
        <x:f>H285/60</x:f>
        <x:v>0</x:v>
      </x:c>
      <x:c r="J285" s="16" t="str">
        <x:f>IF(I285&gt;=2,"Yes","No")</x:f>
        <x:v>No</x:v>
      </x:c>
    </x:row>
    <x:row r="286">
      <x:c r="A286" s="14" t="n">
        <x:v>46557</x:v>
      </x:c>
      <x:c r="B286" s="16" t="str">
        <x:f>TEXT(A286,"ddd")</x:f>
        <x:v>Sat</x:v>
      </x:c>
      <x:c r="C286" s="16" t="n">
        <x:v>0</x:v>
      </x:c>
      <x:c r="D286" s="16" t="n">
        <x:v>0</x:v>
      </x:c>
      <x:c r="E286" s="16" t="n">
        <x:v>0</x:v>
      </x:c>
      <x:c r="F286" s="16" t="n">
        <x:v>0</x:v>
      </x:c>
      <x:c r="G286" s="16" t="n">
        <x:v>0</x:v>
      </x:c>
      <x:c r="H286" s="16" t="n">
        <x:f>SUM(C286:G286)</x:f>
        <x:v>0</x:v>
      </x:c>
      <x:c r="I286" s="35" t="n">
        <x:f>H286/60</x:f>
        <x:v>0</x:v>
      </x:c>
      <x:c r="J286" s="16" t="str">
        <x:f>IF(I286&gt;=2,"Yes","No")</x:f>
        <x:v>No</x:v>
      </x:c>
    </x:row>
    <x:row r="287">
      <x:c r="A287" s="14" t="n">
        <x:v>46558</x:v>
      </x:c>
      <x:c r="B287" s="16" t="str">
        <x:f>TEXT(A287,"ddd")</x:f>
        <x:v>Sun</x:v>
      </x:c>
      <x:c r="C287" s="16" t="n">
        <x:v>0</x:v>
      </x:c>
      <x:c r="D287" s="16" t="n">
        <x:v>0</x:v>
      </x:c>
      <x:c r="E287" s="16" t="n">
        <x:v>0</x:v>
      </x:c>
      <x:c r="F287" s="16" t="n">
        <x:v>0</x:v>
      </x:c>
      <x:c r="G287" s="16" t="n">
        <x:v>0</x:v>
      </x:c>
      <x:c r="H287" s="16" t="n">
        <x:f>SUM(C287:G287)</x:f>
        <x:v>0</x:v>
      </x:c>
      <x:c r="I287" s="35" t="n">
        <x:f>H287/60</x:f>
        <x:v>0</x:v>
      </x:c>
      <x:c r="J287" s="16" t="str">
        <x:f>IF(I287&gt;=2,"Yes","No")</x:f>
        <x:v>No</x:v>
      </x:c>
    </x:row>
    <x:row r="288">
      <x:c r="A288" s="14" t="n">
        <x:v>46559</x:v>
      </x:c>
      <x:c r="B288" s="16" t="str">
        <x:f>TEXT(A288,"ddd")</x:f>
        <x:v>Mon</x:v>
      </x:c>
      <x:c r="C288" s="16" t="n">
        <x:v>0</x:v>
      </x:c>
      <x:c r="D288" s="16" t="n">
        <x:v>0</x:v>
      </x:c>
      <x:c r="E288" s="16" t="n">
        <x:v>0</x:v>
      </x:c>
      <x:c r="F288" s="16" t="n">
        <x:v>0</x:v>
      </x:c>
      <x:c r="G288" s="16" t="n">
        <x:v>0</x:v>
      </x:c>
      <x:c r="H288" s="16" t="n">
        <x:f>SUM(C288:G288)</x:f>
        <x:v>0</x:v>
      </x:c>
      <x:c r="I288" s="35" t="n">
        <x:f>H288/60</x:f>
        <x:v>0</x:v>
      </x:c>
      <x:c r="J288" s="16" t="str">
        <x:f>IF(I288&gt;=2,"Yes","No")</x:f>
        <x:v>No</x:v>
      </x:c>
    </x:row>
    <x:row r="289">
      <x:c r="A289" s="14" t="n">
        <x:v>46560</x:v>
      </x:c>
      <x:c r="B289" s="16" t="str">
        <x:f>TEXT(A289,"ddd")</x:f>
        <x:v>Tue</x:v>
      </x:c>
      <x:c r="C289" s="16" t="n">
        <x:v>0</x:v>
      </x:c>
      <x:c r="D289" s="16" t="n">
        <x:v>0</x:v>
      </x:c>
      <x:c r="E289" s="16" t="n">
        <x:v>0</x:v>
      </x:c>
      <x:c r="F289" s="16" t="n">
        <x:v>0</x:v>
      </x:c>
      <x:c r="G289" s="16" t="n">
        <x:v>0</x:v>
      </x:c>
      <x:c r="H289" s="16" t="n">
        <x:f>SUM(C289:G289)</x:f>
        <x:v>0</x:v>
      </x:c>
      <x:c r="I289" s="35" t="n">
        <x:f>H289/60</x:f>
        <x:v>0</x:v>
      </x:c>
      <x:c r="J289" s="16" t="str">
        <x:f>IF(I289&gt;=2,"Yes","No")</x:f>
        <x:v>No</x:v>
      </x:c>
    </x:row>
    <x:row r="290">
      <x:c r="A290" s="14" t="n">
        <x:v>46561</x:v>
      </x:c>
      <x:c r="B290" s="16" t="str">
        <x:f>TEXT(A290,"ddd")</x:f>
        <x:v>Wed</x:v>
      </x:c>
      <x:c r="C290" s="16" t="n">
        <x:v>0</x:v>
      </x:c>
      <x:c r="D290" s="16" t="n">
        <x:v>0</x:v>
      </x:c>
      <x:c r="E290" s="16" t="n">
        <x:v>0</x:v>
      </x:c>
      <x:c r="F290" s="16" t="n">
        <x:v>0</x:v>
      </x:c>
      <x:c r="G290" s="16" t="n">
        <x:v>0</x:v>
      </x:c>
      <x:c r="H290" s="16" t="n">
        <x:f>SUM(C290:G290)</x:f>
        <x:v>0</x:v>
      </x:c>
      <x:c r="I290" s="35" t="n">
        <x:f>H290/60</x:f>
        <x:v>0</x:v>
      </x:c>
      <x:c r="J290" s="16" t="str">
        <x:f>IF(I290&gt;=2,"Yes","No")</x:f>
        <x:v>No</x:v>
      </x:c>
    </x:row>
    <x:row r="291">
      <x:c r="A291" s="14" t="n">
        <x:v>46562</x:v>
      </x:c>
      <x:c r="B291" s="16" t="str">
        <x:f>TEXT(A291,"ddd")</x:f>
        <x:v>Thu</x:v>
      </x:c>
      <x:c r="C291" s="16" t="n">
        <x:v>0</x:v>
      </x:c>
      <x:c r="D291" s="16" t="n">
        <x:v>0</x:v>
      </x:c>
      <x:c r="E291" s="16" t="n">
        <x:v>0</x:v>
      </x:c>
      <x:c r="F291" s="16" t="n">
        <x:v>0</x:v>
      </x:c>
      <x:c r="G291" s="16" t="n">
        <x:v>0</x:v>
      </x:c>
      <x:c r="H291" s="16" t="n">
        <x:f>SUM(C291:G291)</x:f>
        <x:v>0</x:v>
      </x:c>
      <x:c r="I291" s="35" t="n">
        <x:f>H291/60</x:f>
        <x:v>0</x:v>
      </x:c>
      <x:c r="J291" s="16" t="str">
        <x:f>IF(I291&gt;=2,"Yes","No")</x:f>
        <x:v>No</x:v>
      </x:c>
    </x:row>
    <x:row r="292">
      <x:c r="A292" s="14" t="n">
        <x:v>46563</x:v>
      </x:c>
      <x:c r="B292" s="16" t="str">
        <x:f>TEXT(A292,"ddd")</x:f>
        <x:v>Fri</x:v>
      </x:c>
      <x:c r="C292" s="16" t="n">
        <x:v>0</x:v>
      </x:c>
      <x:c r="D292" s="16" t="n">
        <x:v>0</x:v>
      </x:c>
      <x:c r="E292" s="16" t="n">
        <x:v>0</x:v>
      </x:c>
      <x:c r="F292" s="16" t="n">
        <x:v>0</x:v>
      </x:c>
      <x:c r="G292" s="16" t="n">
        <x:v>0</x:v>
      </x:c>
      <x:c r="H292" s="16" t="n">
        <x:f>SUM(C292:G292)</x:f>
        <x:v>0</x:v>
      </x:c>
      <x:c r="I292" s="35" t="n">
        <x:f>H292/60</x:f>
        <x:v>0</x:v>
      </x:c>
      <x:c r="J292" s="16" t="str">
        <x:f>IF(I292&gt;=2,"Yes","No")</x:f>
        <x:v>No</x:v>
      </x:c>
    </x:row>
    <x:row r="293">
      <x:c r="A293" s="14" t="n">
        <x:v>46564</x:v>
      </x:c>
      <x:c r="B293" s="16" t="str">
        <x:f>TEXT(A293,"ddd")</x:f>
        <x:v>Sat</x:v>
      </x:c>
      <x:c r="C293" s="16" t="n">
        <x:v>0</x:v>
      </x:c>
      <x:c r="D293" s="16" t="n">
        <x:v>0</x:v>
      </x:c>
      <x:c r="E293" s="16" t="n">
        <x:v>0</x:v>
      </x:c>
      <x:c r="F293" s="16" t="n">
        <x:v>0</x:v>
      </x:c>
      <x:c r="G293" s="16" t="n">
        <x:v>0</x:v>
      </x:c>
      <x:c r="H293" s="16" t="n">
        <x:f>SUM(C293:G293)</x:f>
        <x:v>0</x:v>
      </x:c>
      <x:c r="I293" s="35" t="n">
        <x:f>H293/60</x:f>
        <x:v>0</x:v>
      </x:c>
      <x:c r="J293" s="16" t="str">
        <x:f>IF(I293&gt;=2,"Yes","No")</x:f>
        <x:v>No</x:v>
      </x:c>
    </x:row>
    <x:row r="294">
      <x:c r="A294" s="14" t="n">
        <x:v>46565</x:v>
      </x:c>
      <x:c r="B294" s="16" t="str">
        <x:f>TEXT(A294,"ddd")</x:f>
        <x:v>Sun</x:v>
      </x:c>
      <x:c r="C294" s="16" t="n">
        <x:v>0</x:v>
      </x:c>
      <x:c r="D294" s="16" t="n">
        <x:v>0</x:v>
      </x:c>
      <x:c r="E294" s="16" t="n">
        <x:v>0</x:v>
      </x:c>
      <x:c r="F294" s="16" t="n">
        <x:v>0</x:v>
      </x:c>
      <x:c r="G294" s="16" t="n">
        <x:v>0</x:v>
      </x:c>
      <x:c r="H294" s="16" t="n">
        <x:f>SUM(C294:G294)</x:f>
        <x:v>0</x:v>
      </x:c>
      <x:c r="I294" s="35" t="n">
        <x:f>H294/60</x:f>
        <x:v>0</x:v>
      </x:c>
      <x:c r="J294" s="16" t="str">
        <x:f>IF(I294&gt;=2,"Yes","No")</x:f>
        <x:v>No</x:v>
      </x:c>
    </x:row>
    <x:row r="295">
      <x:c r="A295" s="14" t="n">
        <x:v>46566</x:v>
      </x:c>
      <x:c r="B295" s="16" t="str">
        <x:f>TEXT(A295,"ddd")</x:f>
        <x:v>Mon</x:v>
      </x:c>
      <x:c r="C295" s="16" t="n">
        <x:v>0</x:v>
      </x:c>
      <x:c r="D295" s="16" t="n">
        <x:v>0</x:v>
      </x:c>
      <x:c r="E295" s="16" t="n">
        <x:v>0</x:v>
      </x:c>
      <x:c r="F295" s="16" t="n">
        <x:v>0</x:v>
      </x:c>
      <x:c r="G295" s="16" t="n">
        <x:v>0</x:v>
      </x:c>
      <x:c r="H295" s="16" t="n">
        <x:f>SUM(C295:G295)</x:f>
        <x:v>0</x:v>
      </x:c>
      <x:c r="I295" s="35" t="n">
        <x:f>H295/60</x:f>
        <x:v>0</x:v>
      </x:c>
      <x:c r="J295" s="16" t="str">
        <x:f>IF(I295&gt;=2,"Yes","No")</x:f>
        <x:v>No</x:v>
      </x:c>
    </x:row>
    <x:row r="296">
      <x:c r="A296" s="14" t="n">
        <x:v>46567</x:v>
      </x:c>
      <x:c r="B296" s="16" t="str">
        <x:f>TEXT(A296,"ddd")</x:f>
        <x:v>Tue</x:v>
      </x:c>
      <x:c r="C296" s="16" t="n">
        <x:v>0</x:v>
      </x:c>
      <x:c r="D296" s="16" t="n">
        <x:v>0</x:v>
      </x:c>
      <x:c r="E296" s="16" t="n">
        <x:v>0</x:v>
      </x:c>
      <x:c r="F296" s="16" t="n">
        <x:v>0</x:v>
      </x:c>
      <x:c r="G296" s="16" t="n">
        <x:v>0</x:v>
      </x:c>
      <x:c r="H296" s="16" t="n">
        <x:f>SUM(C296:G296)</x:f>
        <x:v>0</x:v>
      </x:c>
      <x:c r="I296" s="35" t="n">
        <x:f>H296/60</x:f>
        <x:v>0</x:v>
      </x:c>
      <x:c r="J296" s="16" t="str">
        <x:f>IF(I296&gt;=2,"Yes","No")</x:f>
        <x:v>No</x:v>
      </x:c>
    </x:row>
    <x:row r="297">
      <x:c r="A297" s="14" t="n">
        <x:v>46568</x:v>
      </x:c>
      <x:c r="B297" s="16" t="str">
        <x:f>TEXT(A297,"ddd")</x:f>
        <x:v>Wed</x:v>
      </x:c>
      <x:c r="C297" s="16" t="n">
        <x:v>0</x:v>
      </x:c>
      <x:c r="D297" s="16" t="n">
        <x:v>0</x:v>
      </x:c>
      <x:c r="E297" s="16" t="n">
        <x:v>0</x:v>
      </x:c>
      <x:c r="F297" s="16" t="n">
        <x:v>0</x:v>
      </x:c>
      <x:c r="G297" s="16" t="n">
        <x:v>0</x:v>
      </x:c>
      <x:c r="H297" s="16" t="n">
        <x:f>SUM(C297:G297)</x:f>
        <x:v>0</x:v>
      </x:c>
      <x:c r="I297" s="35" t="n">
        <x:f>H297/60</x:f>
        <x:v>0</x:v>
      </x:c>
      <x:c r="J297" s="16" t="str">
        <x:f>IF(I297&gt;=2,"Yes","No")</x:f>
        <x:v>No</x:v>
      </x:c>
    </x:row>
    <x:row r="298">
      <x:c r="A298" s="14" t="n">
        <x:v>46569</x:v>
      </x:c>
      <x:c r="B298" s="16" t="str">
        <x:f>TEXT(A298,"ddd")</x:f>
        <x:v>Thu</x:v>
      </x:c>
      <x:c r="C298" s="16" t="n">
        <x:v>0</x:v>
      </x:c>
      <x:c r="D298" s="16" t="n">
        <x:v>0</x:v>
      </x:c>
      <x:c r="E298" s="16" t="n">
        <x:v>0</x:v>
      </x:c>
      <x:c r="F298" s="16" t="n">
        <x:v>0</x:v>
      </x:c>
      <x:c r="G298" s="16" t="n">
        <x:v>0</x:v>
      </x:c>
      <x:c r="H298" s="16" t="n">
        <x:f>SUM(C298:G298)</x:f>
        <x:v>0</x:v>
      </x:c>
      <x:c r="I298" s="35" t="n">
        <x:f>H298/60</x:f>
        <x:v>0</x:v>
      </x:c>
      <x:c r="J298" s="16" t="str">
        <x:f>IF(I298&gt;=2,"Yes","No")</x:f>
        <x:v>No</x:v>
      </x:c>
    </x:row>
    <x:row r="299">
      <x:c r="A299" s="14" t="n">
        <x:v>46570</x:v>
      </x:c>
      <x:c r="B299" s="16" t="str">
        <x:f>TEXT(A299,"ddd")</x:f>
        <x:v>Fri</x:v>
      </x:c>
      <x:c r="C299" s="16" t="n">
        <x:v>0</x:v>
      </x:c>
      <x:c r="D299" s="16" t="n">
        <x:v>0</x:v>
      </x:c>
      <x:c r="E299" s="16" t="n">
        <x:v>0</x:v>
      </x:c>
      <x:c r="F299" s="16" t="n">
        <x:v>0</x:v>
      </x:c>
      <x:c r="G299" s="16" t="n">
        <x:v>0</x:v>
      </x:c>
      <x:c r="H299" s="16" t="n">
        <x:f>SUM(C299:G299)</x:f>
        <x:v>0</x:v>
      </x:c>
      <x:c r="I299" s="35" t="n">
        <x:f>H299/60</x:f>
        <x:v>0</x:v>
      </x:c>
      <x:c r="J299" s="16" t="str">
        <x:f>IF(I299&gt;=2,"Yes","No")</x:f>
        <x:v>No</x:v>
      </x:c>
    </x:row>
    <x:row r="300">
      <x:c r="A300" s="14" t="n">
        <x:v>46571</x:v>
      </x:c>
      <x:c r="B300" s="16" t="str">
        <x:f>TEXT(A300,"ddd")</x:f>
        <x:v>Sat</x:v>
      </x:c>
      <x:c r="C300" s="16" t="n">
        <x:v>0</x:v>
      </x:c>
      <x:c r="D300" s="16" t="n">
        <x:v>0</x:v>
      </x:c>
      <x:c r="E300" s="16" t="n">
        <x:v>0</x:v>
      </x:c>
      <x:c r="F300" s="16" t="n">
        <x:v>0</x:v>
      </x:c>
      <x:c r="G300" s="16" t="n">
        <x:v>0</x:v>
      </x:c>
      <x:c r="H300" s="16" t="n">
        <x:f>SUM(C300:G300)</x:f>
        <x:v>0</x:v>
      </x:c>
      <x:c r="I300" s="35" t="n">
        <x:f>H300/60</x:f>
        <x:v>0</x:v>
      </x:c>
      <x:c r="J300" s="16" t="str">
        <x:f>IF(I300&gt;=2,"Yes","No")</x:f>
        <x:v>No</x:v>
      </x:c>
    </x:row>
    <x:row r="301">
      <x:c r="A301" s="14" t="n">
        <x:v>46572</x:v>
      </x:c>
      <x:c r="B301" s="16" t="str">
        <x:f>TEXT(A301,"ddd")</x:f>
        <x:v>Sun</x:v>
      </x:c>
      <x:c r="C301" s="16" t="n">
        <x:v>0</x:v>
      </x:c>
      <x:c r="D301" s="16" t="n">
        <x:v>0</x:v>
      </x:c>
      <x:c r="E301" s="16" t="n">
        <x:v>0</x:v>
      </x:c>
      <x:c r="F301" s="16" t="n">
        <x:v>0</x:v>
      </x:c>
      <x:c r="G301" s="16" t="n">
        <x:v>0</x:v>
      </x:c>
      <x:c r="H301" s="16" t="n">
        <x:f>SUM(C301:G301)</x:f>
        <x:v>0</x:v>
      </x:c>
      <x:c r="I301" s="35" t="n">
        <x:f>H301/60</x:f>
        <x:v>0</x:v>
      </x:c>
      <x:c r="J301" s="16" t="str">
        <x:f>IF(I301&gt;=2,"Yes","No")</x:f>
        <x:v>No</x:v>
      </x:c>
    </x:row>
    <x:row r="302">
      <x:c r="A302" s="14" t="n">
        <x:v>46573</x:v>
      </x:c>
      <x:c r="B302" s="16" t="str">
        <x:f>TEXT(A302,"ddd")</x:f>
        <x:v>Mon</x:v>
      </x:c>
      <x:c r="C302" s="16" t="n">
        <x:v>0</x:v>
      </x:c>
      <x:c r="D302" s="16" t="n">
        <x:v>0</x:v>
      </x:c>
      <x:c r="E302" s="16" t="n">
        <x:v>0</x:v>
      </x:c>
      <x:c r="F302" s="16" t="n">
        <x:v>0</x:v>
      </x:c>
      <x:c r="G302" s="16" t="n">
        <x:v>0</x:v>
      </x:c>
      <x:c r="H302" s="16" t="n">
        <x:f>SUM(C302:G302)</x:f>
        <x:v>0</x:v>
      </x:c>
      <x:c r="I302" s="35" t="n">
        <x:f>H302/60</x:f>
        <x:v>0</x:v>
      </x:c>
      <x:c r="J302" s="16" t="str">
        <x:f>IF(I302&gt;=2,"Yes","No")</x:f>
        <x:v>No</x:v>
      </x:c>
    </x:row>
    <x:row r="303">
      <x:c r="A303" s="14" t="n">
        <x:v>46574</x:v>
      </x:c>
      <x:c r="B303" s="16" t="str">
        <x:f>TEXT(A303,"ddd")</x:f>
        <x:v>Tue</x:v>
      </x:c>
      <x:c r="C303" s="16" t="n">
        <x:v>0</x:v>
      </x:c>
      <x:c r="D303" s="16" t="n">
        <x:v>0</x:v>
      </x:c>
      <x:c r="E303" s="16" t="n">
        <x:v>0</x:v>
      </x:c>
      <x:c r="F303" s="16" t="n">
        <x:v>0</x:v>
      </x:c>
      <x:c r="G303" s="16" t="n">
        <x:v>0</x:v>
      </x:c>
      <x:c r="H303" s="16" t="n">
        <x:f>SUM(C303:G303)</x:f>
        <x:v>0</x:v>
      </x:c>
      <x:c r="I303" s="35" t="n">
        <x:f>H303/60</x:f>
        <x:v>0</x:v>
      </x:c>
      <x:c r="J303" s="16" t="str">
        <x:f>IF(I303&gt;=2,"Yes","No")</x:f>
        <x:v>No</x:v>
      </x:c>
    </x:row>
    <x:row r="304">
      <x:c r="A304" s="14" t="n">
        <x:v>46575</x:v>
      </x:c>
      <x:c r="B304" s="16" t="str">
        <x:f>TEXT(A304,"ddd")</x:f>
        <x:v>Wed</x:v>
      </x:c>
      <x:c r="C304" s="16" t="n">
        <x:v>0</x:v>
      </x:c>
      <x:c r="D304" s="16" t="n">
        <x:v>0</x:v>
      </x:c>
      <x:c r="E304" s="16" t="n">
        <x:v>0</x:v>
      </x:c>
      <x:c r="F304" s="16" t="n">
        <x:v>0</x:v>
      </x:c>
      <x:c r="G304" s="16" t="n">
        <x:v>0</x:v>
      </x:c>
      <x:c r="H304" s="16" t="n">
        <x:f>SUM(C304:G304)</x:f>
        <x:v>0</x:v>
      </x:c>
      <x:c r="I304" s="35" t="n">
        <x:f>H304/60</x:f>
        <x:v>0</x:v>
      </x:c>
      <x:c r="J304" s="16" t="str">
        <x:f>IF(I304&gt;=2,"Yes","No")</x:f>
        <x:v>No</x:v>
      </x:c>
    </x:row>
    <x:row r="305">
      <x:c r="A305" s="14" t="n">
        <x:v>46576</x:v>
      </x:c>
      <x:c r="B305" s="16" t="str">
        <x:f>TEXT(A305,"ddd")</x:f>
        <x:v>Thu</x:v>
      </x:c>
      <x:c r="C305" s="16" t="n">
        <x:v>0</x:v>
      </x:c>
      <x:c r="D305" s="16" t="n">
        <x:v>0</x:v>
      </x:c>
      <x:c r="E305" s="16" t="n">
        <x:v>0</x:v>
      </x:c>
      <x:c r="F305" s="16" t="n">
        <x:v>0</x:v>
      </x:c>
      <x:c r="G305" s="16" t="n">
        <x:v>0</x:v>
      </x:c>
      <x:c r="H305" s="16" t="n">
        <x:f>SUM(C305:G305)</x:f>
        <x:v>0</x:v>
      </x:c>
      <x:c r="I305" s="35" t="n">
        <x:f>H305/60</x:f>
        <x:v>0</x:v>
      </x:c>
      <x:c r="J305" s="16" t="str">
        <x:f>IF(I305&gt;=2,"Yes","No")</x:f>
        <x:v>No</x:v>
      </x:c>
    </x:row>
    <x:row r="306">
      <x:c r="A306" s="14" t="n">
        <x:v>46577</x:v>
      </x:c>
      <x:c r="B306" s="16" t="str">
        <x:f>TEXT(A306,"ddd")</x:f>
        <x:v>Fri</x:v>
      </x:c>
      <x:c r="C306" s="16" t="n">
        <x:v>0</x:v>
      </x:c>
      <x:c r="D306" s="16" t="n">
        <x:v>0</x:v>
      </x:c>
      <x:c r="E306" s="16" t="n">
        <x:v>0</x:v>
      </x:c>
      <x:c r="F306" s="16" t="n">
        <x:v>0</x:v>
      </x:c>
      <x:c r="G306" s="16" t="n">
        <x:v>0</x:v>
      </x:c>
      <x:c r="H306" s="16" t="n">
        <x:f>SUM(C306:G306)</x:f>
        <x:v>0</x:v>
      </x:c>
      <x:c r="I306" s="35" t="n">
        <x:f>H306/60</x:f>
        <x:v>0</x:v>
      </x:c>
      <x:c r="J306" s="16" t="str">
        <x:f>IF(I306&gt;=2,"Yes","No")</x:f>
        <x:v>No</x:v>
      </x:c>
    </x:row>
    <x:row r="307">
      <x:c r="A307" s="14" t="n">
        <x:v>46578</x:v>
      </x:c>
      <x:c r="B307" s="16" t="str">
        <x:f>TEXT(A307,"ddd")</x:f>
        <x:v>Sat</x:v>
      </x:c>
      <x:c r="C307" s="16" t="n">
        <x:v>0</x:v>
      </x:c>
      <x:c r="D307" s="16" t="n">
        <x:v>0</x:v>
      </x:c>
      <x:c r="E307" s="16" t="n">
        <x:v>0</x:v>
      </x:c>
      <x:c r="F307" s="16" t="n">
        <x:v>0</x:v>
      </x:c>
      <x:c r="G307" s="16" t="n">
        <x:v>0</x:v>
      </x:c>
      <x:c r="H307" s="16" t="n">
        <x:f>SUM(C307:G307)</x:f>
        <x:v>0</x:v>
      </x:c>
      <x:c r="I307" s="35" t="n">
        <x:f>H307/60</x:f>
        <x:v>0</x:v>
      </x:c>
      <x:c r="J307" s="16" t="str">
        <x:f>IF(I307&gt;=2,"Yes","No")</x:f>
        <x:v>No</x:v>
      </x:c>
    </x:row>
    <x:row r="308">
      <x:c r="A308" s="14" t="n">
        <x:v>46579</x:v>
      </x:c>
      <x:c r="B308" s="16" t="str">
        <x:f>TEXT(A308,"ddd")</x:f>
        <x:v>Sun</x:v>
      </x:c>
      <x:c r="C308" s="16" t="n">
        <x:v>0</x:v>
      </x:c>
      <x:c r="D308" s="16" t="n">
        <x:v>0</x:v>
      </x:c>
      <x:c r="E308" s="16" t="n">
        <x:v>0</x:v>
      </x:c>
      <x:c r="F308" s="16" t="n">
        <x:v>0</x:v>
      </x:c>
      <x:c r="G308" s="16" t="n">
        <x:v>0</x:v>
      </x:c>
      <x:c r="H308" s="16" t="n">
        <x:f>SUM(C308:G308)</x:f>
        <x:v>0</x:v>
      </x:c>
      <x:c r="I308" s="35" t="n">
        <x:f>H308/60</x:f>
        <x:v>0</x:v>
      </x:c>
      <x:c r="J308" s="16" t="str">
        <x:f>IF(I308&gt;=2,"Yes","No")</x:f>
        <x:v>No</x:v>
      </x:c>
    </x:row>
    <x:row r="309">
      <x:c r="A309" s="14" t="n">
        <x:v>46580</x:v>
      </x:c>
      <x:c r="B309" s="16" t="str">
        <x:f>TEXT(A309,"ddd")</x:f>
        <x:v>Mon</x:v>
      </x:c>
      <x:c r="C309" s="16" t="n">
        <x:v>0</x:v>
      </x:c>
      <x:c r="D309" s="16" t="n">
        <x:v>0</x:v>
      </x:c>
      <x:c r="E309" s="16" t="n">
        <x:v>0</x:v>
      </x:c>
      <x:c r="F309" s="16" t="n">
        <x:v>0</x:v>
      </x:c>
      <x:c r="G309" s="16" t="n">
        <x:v>0</x:v>
      </x:c>
      <x:c r="H309" s="16" t="n">
        <x:f>SUM(C309:G309)</x:f>
        <x:v>0</x:v>
      </x:c>
      <x:c r="I309" s="35" t="n">
        <x:f>H309/60</x:f>
        <x:v>0</x:v>
      </x:c>
      <x:c r="J309" s="16" t="str">
        <x:f>IF(I309&gt;=2,"Yes","No")</x:f>
        <x:v>No</x:v>
      </x:c>
    </x:row>
    <x:row r="310">
      <x:c r="A310" s="14" t="n">
        <x:v>46581</x:v>
      </x:c>
      <x:c r="B310" s="16" t="str">
        <x:f>TEXT(A310,"ddd")</x:f>
        <x:v>Tue</x:v>
      </x:c>
      <x:c r="C310" s="16" t="n">
        <x:v>0</x:v>
      </x:c>
      <x:c r="D310" s="16" t="n">
        <x:v>0</x:v>
      </x:c>
      <x:c r="E310" s="16" t="n">
        <x:v>0</x:v>
      </x:c>
      <x:c r="F310" s="16" t="n">
        <x:v>0</x:v>
      </x:c>
      <x:c r="G310" s="16" t="n">
        <x:v>0</x:v>
      </x:c>
      <x:c r="H310" s="16" t="n">
        <x:f>SUM(C310:G310)</x:f>
        <x:v>0</x:v>
      </x:c>
      <x:c r="I310" s="35" t="n">
        <x:f>H310/60</x:f>
        <x:v>0</x:v>
      </x:c>
      <x:c r="J310" s="16" t="str">
        <x:f>IF(I310&gt;=2,"Yes","No")</x:f>
        <x:v>No</x:v>
      </x:c>
    </x:row>
    <x:row r="311">
      <x:c r="A311" s="14" t="n">
        <x:v>46582</x:v>
      </x:c>
      <x:c r="B311" s="16" t="str">
        <x:f>TEXT(A311,"ddd")</x:f>
        <x:v>Wed</x:v>
      </x:c>
      <x:c r="C311" s="16" t="n">
        <x:v>0</x:v>
      </x:c>
      <x:c r="D311" s="16" t="n">
        <x:v>0</x:v>
      </x:c>
      <x:c r="E311" s="16" t="n">
        <x:v>0</x:v>
      </x:c>
      <x:c r="F311" s="16" t="n">
        <x:v>0</x:v>
      </x:c>
      <x:c r="G311" s="16" t="n">
        <x:v>0</x:v>
      </x:c>
      <x:c r="H311" s="16" t="n">
        <x:f>SUM(C311:G311)</x:f>
        <x:v>0</x:v>
      </x:c>
      <x:c r="I311" s="35" t="n">
        <x:f>H311/60</x:f>
        <x:v>0</x:v>
      </x:c>
      <x:c r="J311" s="16" t="str">
        <x:f>IF(I311&gt;=2,"Yes","No")</x:f>
        <x:v>No</x:v>
      </x:c>
    </x:row>
    <x:row r="312">
      <x:c r="A312" s="14" t="n">
        <x:v>46583</x:v>
      </x:c>
      <x:c r="B312" s="16" t="str">
        <x:f>TEXT(A312,"ddd")</x:f>
        <x:v>Thu</x:v>
      </x:c>
      <x:c r="C312" s="16" t="n">
        <x:v>0</x:v>
      </x:c>
      <x:c r="D312" s="16" t="n">
        <x:v>0</x:v>
      </x:c>
      <x:c r="E312" s="16" t="n">
        <x:v>0</x:v>
      </x:c>
      <x:c r="F312" s="16" t="n">
        <x:v>0</x:v>
      </x:c>
      <x:c r="G312" s="16" t="n">
        <x:v>0</x:v>
      </x:c>
      <x:c r="H312" s="16" t="n">
        <x:f>SUM(C312:G312)</x:f>
        <x:v>0</x:v>
      </x:c>
      <x:c r="I312" s="35" t="n">
        <x:f>H312/60</x:f>
        <x:v>0</x:v>
      </x:c>
      <x:c r="J312" s="16" t="str">
        <x:f>IF(I312&gt;=2,"Yes","No")</x:f>
        <x:v>No</x:v>
      </x:c>
    </x:row>
    <x:row r="313">
      <x:c r="A313" s="14" t="n">
        <x:v>46584</x:v>
      </x:c>
      <x:c r="B313" s="16" t="str">
        <x:f>TEXT(A313,"ddd")</x:f>
        <x:v>Fri</x:v>
      </x:c>
      <x:c r="C313" s="16" t="n">
        <x:v>0</x:v>
      </x:c>
      <x:c r="D313" s="16" t="n">
        <x:v>0</x:v>
      </x:c>
      <x:c r="E313" s="16" t="n">
        <x:v>0</x:v>
      </x:c>
      <x:c r="F313" s="16" t="n">
        <x:v>0</x:v>
      </x:c>
      <x:c r="G313" s="16" t="n">
        <x:v>0</x:v>
      </x:c>
      <x:c r="H313" s="16" t="n">
        <x:f>SUM(C313:G313)</x:f>
        <x:v>0</x:v>
      </x:c>
      <x:c r="I313" s="35" t="n">
        <x:f>H313/60</x:f>
        <x:v>0</x:v>
      </x:c>
      <x:c r="J313" s="16" t="str">
        <x:f>IF(I313&gt;=2,"Yes","No")</x:f>
        <x:v>No</x:v>
      </x:c>
    </x:row>
    <x:row r="314">
      <x:c r="A314" s="14" t="n">
        <x:v>46585</x:v>
      </x:c>
      <x:c r="B314" s="16" t="str">
        <x:f>TEXT(A314,"ddd")</x:f>
        <x:v>Sat</x:v>
      </x:c>
      <x:c r="C314" s="16" t="n">
        <x:v>0</x:v>
      </x:c>
      <x:c r="D314" s="16" t="n">
        <x:v>0</x:v>
      </x:c>
      <x:c r="E314" s="16" t="n">
        <x:v>0</x:v>
      </x:c>
      <x:c r="F314" s="16" t="n">
        <x:v>0</x:v>
      </x:c>
      <x:c r="G314" s="16" t="n">
        <x:v>0</x:v>
      </x:c>
      <x:c r="H314" s="16" t="n">
        <x:f>SUM(C314:G314)</x:f>
        <x:v>0</x:v>
      </x:c>
      <x:c r="I314" s="35" t="n">
        <x:f>H314/60</x:f>
        <x:v>0</x:v>
      </x:c>
      <x:c r="J314" s="16" t="str">
        <x:f>IF(I314&gt;=2,"Yes","No")</x:f>
        <x:v>No</x:v>
      </x:c>
    </x:row>
    <x:row r="315">
      <x:c r="A315" s="14" t="n">
        <x:v>46586</x:v>
      </x:c>
      <x:c r="B315" s="16" t="str">
        <x:f>TEXT(A315,"ddd")</x:f>
        <x:v>Sun</x:v>
      </x:c>
      <x:c r="C315" s="16" t="n">
        <x:v>0</x:v>
      </x:c>
      <x:c r="D315" s="16" t="n">
        <x:v>0</x:v>
      </x:c>
      <x:c r="E315" s="16" t="n">
        <x:v>0</x:v>
      </x:c>
      <x:c r="F315" s="16" t="n">
        <x:v>0</x:v>
      </x:c>
      <x:c r="G315" s="16" t="n">
        <x:v>0</x:v>
      </x:c>
      <x:c r="H315" s="16" t="n">
        <x:f>SUM(C315:G315)</x:f>
        <x:v>0</x:v>
      </x:c>
      <x:c r="I315" s="35" t="n">
        <x:f>H315/60</x:f>
        <x:v>0</x:v>
      </x:c>
      <x:c r="J315" s="16" t="str">
        <x:f>IF(I315&gt;=2,"Yes","No")</x:f>
        <x:v>No</x:v>
      </x:c>
    </x:row>
    <x:row r="316">
      <x:c r="A316" s="14" t="n">
        <x:v>46587</x:v>
      </x:c>
      <x:c r="B316" s="16" t="str">
        <x:f>TEXT(A316,"ddd")</x:f>
        <x:v>Mon</x:v>
      </x:c>
      <x:c r="C316" s="16" t="n">
        <x:v>0</x:v>
      </x:c>
      <x:c r="D316" s="16" t="n">
        <x:v>0</x:v>
      </x:c>
      <x:c r="E316" s="16" t="n">
        <x:v>0</x:v>
      </x:c>
      <x:c r="F316" s="16" t="n">
        <x:v>0</x:v>
      </x:c>
      <x:c r="G316" s="16" t="n">
        <x:v>0</x:v>
      </x:c>
      <x:c r="H316" s="16" t="n">
        <x:f>SUM(C316:G316)</x:f>
        <x:v>0</x:v>
      </x:c>
      <x:c r="I316" s="35" t="n">
        <x:f>H316/60</x:f>
        <x:v>0</x:v>
      </x:c>
      <x:c r="J316" s="16" t="str">
        <x:f>IF(I316&gt;=2,"Yes","No")</x:f>
        <x:v>No</x:v>
      </x:c>
    </x:row>
    <x:row r="317">
      <x:c r="A317" s="14" t="n">
        <x:v>46588</x:v>
      </x:c>
      <x:c r="B317" s="16" t="str">
        <x:f>TEXT(A317,"ddd")</x:f>
        <x:v>Tue</x:v>
      </x:c>
      <x:c r="C317" s="16" t="n">
        <x:v>0</x:v>
      </x:c>
      <x:c r="D317" s="16" t="n">
        <x:v>0</x:v>
      </x:c>
      <x:c r="E317" s="16" t="n">
        <x:v>0</x:v>
      </x:c>
      <x:c r="F317" s="16" t="n">
        <x:v>0</x:v>
      </x:c>
      <x:c r="G317" s="16" t="n">
        <x:v>0</x:v>
      </x:c>
      <x:c r="H317" s="16" t="n">
        <x:f>SUM(C317:G317)</x:f>
        <x:v>0</x:v>
      </x:c>
      <x:c r="I317" s="35" t="n">
        <x:f>H317/60</x:f>
        <x:v>0</x:v>
      </x:c>
      <x:c r="J317" s="16" t="str">
        <x:f>IF(I317&gt;=2,"Yes","No")</x:f>
        <x:v>No</x:v>
      </x:c>
    </x:row>
    <x:row r="318">
      <x:c r="A318" s="14" t="n">
        <x:v>46589</x:v>
      </x:c>
      <x:c r="B318" s="16" t="str">
        <x:f>TEXT(A318,"ddd")</x:f>
        <x:v>Wed</x:v>
      </x:c>
      <x:c r="C318" s="16" t="n">
        <x:v>0</x:v>
      </x:c>
      <x:c r="D318" s="16" t="n">
        <x:v>0</x:v>
      </x:c>
      <x:c r="E318" s="16" t="n">
        <x:v>0</x:v>
      </x:c>
      <x:c r="F318" s="16" t="n">
        <x:v>0</x:v>
      </x:c>
      <x:c r="G318" s="16" t="n">
        <x:v>0</x:v>
      </x:c>
      <x:c r="H318" s="16" t="n">
        <x:f>SUM(C318:G318)</x:f>
        <x:v>0</x:v>
      </x:c>
      <x:c r="I318" s="35" t="n">
        <x:f>H318/60</x:f>
        <x:v>0</x:v>
      </x:c>
      <x:c r="J318" s="16" t="str">
        <x:f>IF(I318&gt;=2,"Yes","No")</x:f>
        <x:v>No</x:v>
      </x:c>
    </x:row>
    <x:row r="319">
      <x:c r="A319" s="14" t="n">
        <x:v>46590</x:v>
      </x:c>
      <x:c r="B319" s="16" t="str">
        <x:f>TEXT(A319,"ddd")</x:f>
        <x:v>Thu</x:v>
      </x:c>
      <x:c r="C319" s="16" t="n">
        <x:v>0</x:v>
      </x:c>
      <x:c r="D319" s="16" t="n">
        <x:v>0</x:v>
      </x:c>
      <x:c r="E319" s="16" t="n">
        <x:v>0</x:v>
      </x:c>
      <x:c r="F319" s="16" t="n">
        <x:v>0</x:v>
      </x:c>
      <x:c r="G319" s="16" t="n">
        <x:v>0</x:v>
      </x:c>
      <x:c r="H319" s="16" t="n">
        <x:f>SUM(C319:G319)</x:f>
        <x:v>0</x:v>
      </x:c>
      <x:c r="I319" s="35" t="n">
        <x:f>H319/60</x:f>
        <x:v>0</x:v>
      </x:c>
      <x:c r="J319" s="16" t="str">
        <x:f>IF(I319&gt;=2,"Yes","No")</x:f>
        <x:v>No</x:v>
      </x:c>
    </x:row>
    <x:row r="320">
      <x:c r="A320" s="14" t="n">
        <x:v>46591</x:v>
      </x:c>
      <x:c r="B320" s="16" t="str">
        <x:f>TEXT(A320,"ddd")</x:f>
        <x:v>Fri</x:v>
      </x:c>
      <x:c r="C320" s="16" t="n">
        <x:v>0</x:v>
      </x:c>
      <x:c r="D320" s="16" t="n">
        <x:v>0</x:v>
      </x:c>
      <x:c r="E320" s="16" t="n">
        <x:v>0</x:v>
      </x:c>
      <x:c r="F320" s="16" t="n">
        <x:v>0</x:v>
      </x:c>
      <x:c r="G320" s="16" t="n">
        <x:v>0</x:v>
      </x:c>
      <x:c r="H320" s="16" t="n">
        <x:f>SUM(C320:G320)</x:f>
        <x:v>0</x:v>
      </x:c>
      <x:c r="I320" s="35" t="n">
        <x:f>H320/60</x:f>
        <x:v>0</x:v>
      </x:c>
      <x:c r="J320" s="16" t="str">
        <x:f>IF(I320&gt;=2,"Yes","No")</x:f>
        <x:v>No</x:v>
      </x:c>
    </x:row>
    <x:row r="321">
      <x:c r="A321" s="14" t="n">
        <x:v>46592</x:v>
      </x:c>
      <x:c r="B321" s="16" t="str">
        <x:f>TEXT(A321,"ddd")</x:f>
        <x:v>Sat</x:v>
      </x:c>
      <x:c r="C321" s="16" t="n">
        <x:v>0</x:v>
      </x:c>
      <x:c r="D321" s="16" t="n">
        <x:v>0</x:v>
      </x:c>
      <x:c r="E321" s="16" t="n">
        <x:v>0</x:v>
      </x:c>
      <x:c r="F321" s="16" t="n">
        <x:v>0</x:v>
      </x:c>
      <x:c r="G321" s="16" t="n">
        <x:v>0</x:v>
      </x:c>
      <x:c r="H321" s="16" t="n">
        <x:f>SUM(C321:G321)</x:f>
        <x:v>0</x:v>
      </x:c>
      <x:c r="I321" s="35" t="n">
        <x:f>H321/60</x:f>
        <x:v>0</x:v>
      </x:c>
      <x:c r="J321" s="16" t="str">
        <x:f>IF(I321&gt;=2,"Yes","No")</x:f>
        <x:v>No</x:v>
      </x:c>
    </x:row>
    <x:row r="322">
      <x:c r="A322" s="14" t="n">
        <x:v>46593</x:v>
      </x:c>
      <x:c r="B322" s="16" t="str">
        <x:f>TEXT(A322,"ddd")</x:f>
        <x:v>Sun</x:v>
      </x:c>
      <x:c r="C322" s="16" t="n">
        <x:v>0</x:v>
      </x:c>
      <x:c r="D322" s="16" t="n">
        <x:v>0</x:v>
      </x:c>
      <x:c r="E322" s="16" t="n">
        <x:v>0</x:v>
      </x:c>
      <x:c r="F322" s="16" t="n">
        <x:v>0</x:v>
      </x:c>
      <x:c r="G322" s="16" t="n">
        <x:v>0</x:v>
      </x:c>
      <x:c r="H322" s="16" t="n">
        <x:f>SUM(C322:G322)</x:f>
        <x:v>0</x:v>
      </x:c>
      <x:c r="I322" s="35" t="n">
        <x:f>H322/60</x:f>
        <x:v>0</x:v>
      </x:c>
      <x:c r="J322" s="16" t="str">
        <x:f>IF(I322&gt;=2,"Yes","No")</x:f>
        <x:v>No</x:v>
      </x:c>
    </x:row>
    <x:row r="323">
      <x:c r="A323" s="14" t="n">
        <x:v>46594</x:v>
      </x:c>
      <x:c r="B323" s="16" t="str">
        <x:f>TEXT(A323,"ddd")</x:f>
        <x:v>Mon</x:v>
      </x:c>
      <x:c r="C323" s="16" t="n">
        <x:v>0</x:v>
      </x:c>
      <x:c r="D323" s="16" t="n">
        <x:v>0</x:v>
      </x:c>
      <x:c r="E323" s="16" t="n">
        <x:v>0</x:v>
      </x:c>
      <x:c r="F323" s="16" t="n">
        <x:v>0</x:v>
      </x:c>
      <x:c r="G323" s="16" t="n">
        <x:v>0</x:v>
      </x:c>
      <x:c r="H323" s="16" t="n">
        <x:f>SUM(C323:G323)</x:f>
        <x:v>0</x:v>
      </x:c>
      <x:c r="I323" s="35" t="n">
        <x:f>H323/60</x:f>
        <x:v>0</x:v>
      </x:c>
      <x:c r="J323" s="16" t="str">
        <x:f>IF(I323&gt;=2,"Yes","No")</x:f>
        <x:v>No</x:v>
      </x:c>
    </x:row>
    <x:row r="324">
      <x:c r="A324" s="14" t="n">
        <x:v>46595</x:v>
      </x:c>
      <x:c r="B324" s="16" t="str">
        <x:f>TEXT(A324,"ddd")</x:f>
        <x:v>Tue</x:v>
      </x:c>
      <x:c r="C324" s="16" t="n">
        <x:v>0</x:v>
      </x:c>
      <x:c r="D324" s="16" t="n">
        <x:v>0</x:v>
      </x:c>
      <x:c r="E324" s="16" t="n">
        <x:v>0</x:v>
      </x:c>
      <x:c r="F324" s="16" t="n">
        <x:v>0</x:v>
      </x:c>
      <x:c r="G324" s="16" t="n">
        <x:v>0</x:v>
      </x:c>
      <x:c r="H324" s="16" t="n">
        <x:f>SUM(C324:G324)</x:f>
        <x:v>0</x:v>
      </x:c>
      <x:c r="I324" s="35" t="n">
        <x:f>H324/60</x:f>
        <x:v>0</x:v>
      </x:c>
      <x:c r="J324" s="16" t="str">
        <x:f>IF(I324&gt;=2,"Yes","No")</x:f>
        <x:v>No</x:v>
      </x:c>
    </x:row>
    <x:row r="325">
      <x:c r="A325" s="14" t="n">
        <x:v>46596</x:v>
      </x:c>
      <x:c r="B325" s="16" t="str">
        <x:f>TEXT(A325,"ddd")</x:f>
        <x:v>Wed</x:v>
      </x:c>
      <x:c r="C325" s="16" t="n">
        <x:v>0</x:v>
      </x:c>
      <x:c r="D325" s="16" t="n">
        <x:v>0</x:v>
      </x:c>
      <x:c r="E325" s="16" t="n">
        <x:v>0</x:v>
      </x:c>
      <x:c r="F325" s="16" t="n">
        <x:v>0</x:v>
      </x:c>
      <x:c r="G325" s="16" t="n">
        <x:v>0</x:v>
      </x:c>
      <x:c r="H325" s="16" t="n">
        <x:f>SUM(C325:G325)</x:f>
        <x:v>0</x:v>
      </x:c>
      <x:c r="I325" s="35" t="n">
        <x:f>H325/60</x:f>
        <x:v>0</x:v>
      </x:c>
      <x:c r="J325" s="16" t="str">
        <x:f>IF(I325&gt;=2,"Yes","No")</x:f>
        <x:v>No</x:v>
      </x:c>
    </x:row>
    <x:row r="326">
      <x:c r="A326" s="14" t="n">
        <x:v>46597</x:v>
      </x:c>
      <x:c r="B326" s="16" t="str">
        <x:f>TEXT(A326,"ddd")</x:f>
        <x:v>Thu</x:v>
      </x:c>
      <x:c r="C326" s="16" t="n">
        <x:v>0</x:v>
      </x:c>
      <x:c r="D326" s="16" t="n">
        <x:v>0</x:v>
      </x:c>
      <x:c r="E326" s="16" t="n">
        <x:v>0</x:v>
      </x:c>
      <x:c r="F326" s="16" t="n">
        <x:v>0</x:v>
      </x:c>
      <x:c r="G326" s="16" t="n">
        <x:v>0</x:v>
      </x:c>
      <x:c r="H326" s="16" t="n">
        <x:f>SUM(C326:G326)</x:f>
        <x:v>0</x:v>
      </x:c>
      <x:c r="I326" s="35" t="n">
        <x:f>H326/60</x:f>
        <x:v>0</x:v>
      </x:c>
      <x:c r="J326" s="16" t="str">
        <x:f>IF(I326&gt;=2,"Yes","No")</x:f>
        <x:v>No</x:v>
      </x:c>
    </x:row>
    <x:row r="327">
      <x:c r="A327" s="14" t="n">
        <x:v>46598</x:v>
      </x:c>
      <x:c r="B327" s="16" t="str">
        <x:f>TEXT(A327,"ddd")</x:f>
        <x:v>Fri</x:v>
      </x:c>
      <x:c r="C327" s="16" t="n">
        <x:v>0</x:v>
      </x:c>
      <x:c r="D327" s="16" t="n">
        <x:v>0</x:v>
      </x:c>
      <x:c r="E327" s="16" t="n">
        <x:v>0</x:v>
      </x:c>
      <x:c r="F327" s="16" t="n">
        <x:v>0</x:v>
      </x:c>
      <x:c r="G327" s="16" t="n">
        <x:v>0</x:v>
      </x:c>
      <x:c r="H327" s="16" t="n">
        <x:f>SUM(C327:G327)</x:f>
        <x:v>0</x:v>
      </x:c>
      <x:c r="I327" s="35" t="n">
        <x:f>H327/60</x:f>
        <x:v>0</x:v>
      </x:c>
      <x:c r="J327" s="16" t="str">
        <x:f>IF(I327&gt;=2,"Yes","No")</x:f>
        <x:v>No</x:v>
      </x:c>
    </x:row>
    <x:row r="328">
      <x:c r="A328" s="14" t="n">
        <x:v>46599</x:v>
      </x:c>
      <x:c r="B328" s="16" t="str">
        <x:f>TEXT(A328,"ddd")</x:f>
        <x:v>Sat</x:v>
      </x:c>
      <x:c r="C328" s="16" t="n">
        <x:v>0</x:v>
      </x:c>
      <x:c r="D328" s="16" t="n">
        <x:v>0</x:v>
      </x:c>
      <x:c r="E328" s="16" t="n">
        <x:v>0</x:v>
      </x:c>
      <x:c r="F328" s="16" t="n">
        <x:v>0</x:v>
      </x:c>
      <x:c r="G328" s="16" t="n">
        <x:v>0</x:v>
      </x:c>
      <x:c r="H328" s="16" t="n">
        <x:f>SUM(C328:G328)</x:f>
        <x:v>0</x:v>
      </x:c>
      <x:c r="I328" s="35" t="n">
        <x:f>H328/60</x:f>
        <x:v>0</x:v>
      </x:c>
      <x:c r="J328" s="16" t="str">
        <x:f>IF(I328&gt;=2,"Yes","No")</x:f>
        <x:v>No</x:v>
      </x:c>
    </x:row>
    <x:row r="329">
      <x:c r="A329" s="14" t="n">
        <x:v>46600</x:v>
      </x:c>
      <x:c r="B329" s="16" t="str">
        <x:f>TEXT(A329,"ddd")</x:f>
        <x:v>Sun</x:v>
      </x:c>
      <x:c r="C329" s="16" t="n">
        <x:v>0</x:v>
      </x:c>
      <x:c r="D329" s="16" t="n">
        <x:v>0</x:v>
      </x:c>
      <x:c r="E329" s="16" t="n">
        <x:v>0</x:v>
      </x:c>
      <x:c r="F329" s="16" t="n">
        <x:v>0</x:v>
      </x:c>
      <x:c r="G329" s="16" t="n">
        <x:v>0</x:v>
      </x:c>
      <x:c r="H329" s="16" t="n">
        <x:f>SUM(C329:G329)</x:f>
        <x:v>0</x:v>
      </x:c>
      <x:c r="I329" s="35" t="n">
        <x:f>H329/60</x:f>
        <x:v>0</x:v>
      </x:c>
      <x:c r="J329" s="16" t="str">
        <x:f>IF(I329&gt;=2,"Yes","No")</x:f>
        <x:v>No</x:v>
      </x:c>
    </x:row>
    <x:row r="330">
      <x:c r="A330" s="14" t="n">
        <x:v>46601</x:v>
      </x:c>
      <x:c r="B330" s="16" t="str">
        <x:f>TEXT(A330,"ddd")</x:f>
        <x:v>Mon</x:v>
      </x:c>
      <x:c r="C330" s="16" t="n">
        <x:v>0</x:v>
      </x:c>
      <x:c r="D330" s="16" t="n">
        <x:v>0</x:v>
      </x:c>
      <x:c r="E330" s="16" t="n">
        <x:v>0</x:v>
      </x:c>
      <x:c r="F330" s="16" t="n">
        <x:v>0</x:v>
      </x:c>
      <x:c r="G330" s="16" t="n">
        <x:v>0</x:v>
      </x:c>
      <x:c r="H330" s="16" t="n">
        <x:f>SUM(C330:G330)</x:f>
        <x:v>0</x:v>
      </x:c>
      <x:c r="I330" s="35" t="n">
        <x:f>H330/60</x:f>
        <x:v>0</x:v>
      </x:c>
      <x:c r="J330" s="16" t="str">
        <x:f>IF(I330&gt;=2,"Yes","No")</x:f>
        <x:v>No</x:v>
      </x:c>
    </x:row>
    <x:row r="331">
      <x:c r="A331" s="14" t="n">
        <x:v>46602</x:v>
      </x:c>
      <x:c r="B331" s="16" t="str">
        <x:f>TEXT(A331,"ddd")</x:f>
        <x:v>Tue</x:v>
      </x:c>
      <x:c r="C331" s="16" t="n">
        <x:v>0</x:v>
      </x:c>
      <x:c r="D331" s="16" t="n">
        <x:v>0</x:v>
      </x:c>
      <x:c r="E331" s="16" t="n">
        <x:v>0</x:v>
      </x:c>
      <x:c r="F331" s="16" t="n">
        <x:v>0</x:v>
      </x:c>
      <x:c r="G331" s="16" t="n">
        <x:v>0</x:v>
      </x:c>
      <x:c r="H331" s="16" t="n">
        <x:f>SUM(C331:G331)</x:f>
        <x:v>0</x:v>
      </x:c>
      <x:c r="I331" s="35" t="n">
        <x:f>H331/60</x:f>
        <x:v>0</x:v>
      </x:c>
      <x:c r="J331" s="16" t="str">
        <x:f>IF(I331&gt;=2,"Yes","No")</x:f>
        <x:v>No</x:v>
      </x:c>
    </x:row>
    <x:row r="332">
      <x:c r="A332" s="14" t="n">
        <x:v>46603</x:v>
      </x:c>
      <x:c r="B332" s="16" t="str">
        <x:f>TEXT(A332,"ddd")</x:f>
        <x:v>Wed</x:v>
      </x:c>
      <x:c r="C332" s="16" t="n">
        <x:v>0</x:v>
      </x:c>
      <x:c r="D332" s="16" t="n">
        <x:v>0</x:v>
      </x:c>
      <x:c r="E332" s="16" t="n">
        <x:v>0</x:v>
      </x:c>
      <x:c r="F332" s="16" t="n">
        <x:v>0</x:v>
      </x:c>
      <x:c r="G332" s="16" t="n">
        <x:v>0</x:v>
      </x:c>
      <x:c r="H332" s="16" t="n">
        <x:f>SUM(C332:G332)</x:f>
        <x:v>0</x:v>
      </x:c>
      <x:c r="I332" s="35" t="n">
        <x:f>H332/60</x:f>
        <x:v>0</x:v>
      </x:c>
      <x:c r="J332" s="16" t="str">
        <x:f>IF(I332&gt;=2,"Yes","No")</x:f>
        <x:v>No</x:v>
      </x:c>
    </x:row>
    <x:row r="333">
      <x:c r="A333" s="14" t="n">
        <x:v>46604</x:v>
      </x:c>
      <x:c r="B333" s="16" t="str">
        <x:f>TEXT(A333,"ddd")</x:f>
        <x:v>Thu</x:v>
      </x:c>
      <x:c r="C333" s="16" t="n">
        <x:v>0</x:v>
      </x:c>
      <x:c r="D333" s="16" t="n">
        <x:v>0</x:v>
      </x:c>
      <x:c r="E333" s="16" t="n">
        <x:v>0</x:v>
      </x:c>
      <x:c r="F333" s="16" t="n">
        <x:v>0</x:v>
      </x:c>
      <x:c r="G333" s="16" t="n">
        <x:v>0</x:v>
      </x:c>
      <x:c r="H333" s="16" t="n">
        <x:f>SUM(C333:G333)</x:f>
        <x:v>0</x:v>
      </x:c>
      <x:c r="I333" s="35" t="n">
        <x:f>H333/60</x:f>
        <x:v>0</x:v>
      </x:c>
      <x:c r="J333" s="16" t="str">
        <x:f>IF(I333&gt;=2,"Yes","No")</x:f>
        <x:v>No</x:v>
      </x:c>
    </x:row>
    <x:row r="334">
      <x:c r="A334" s="14" t="n">
        <x:v>46605</x:v>
      </x:c>
      <x:c r="B334" s="16" t="str">
        <x:f>TEXT(A334,"ddd")</x:f>
        <x:v>Fri</x:v>
      </x:c>
      <x:c r="C334" s="16" t="n">
        <x:v>0</x:v>
      </x:c>
      <x:c r="D334" s="16" t="n">
        <x:v>0</x:v>
      </x:c>
      <x:c r="E334" s="16" t="n">
        <x:v>0</x:v>
      </x:c>
      <x:c r="F334" s="16" t="n">
        <x:v>0</x:v>
      </x:c>
      <x:c r="G334" s="16" t="n">
        <x:v>0</x:v>
      </x:c>
      <x:c r="H334" s="16" t="n">
        <x:f>SUM(C334:G334)</x:f>
        <x:v>0</x:v>
      </x:c>
      <x:c r="I334" s="35" t="n">
        <x:f>H334/60</x:f>
        <x:v>0</x:v>
      </x:c>
      <x:c r="J334" s="16" t="str">
        <x:f>IF(I334&gt;=2,"Yes","No")</x:f>
        <x:v>No</x:v>
      </x:c>
    </x:row>
    <x:row r="335">
      <x:c r="A335" s="14" t="n">
        <x:v>46606</x:v>
      </x:c>
      <x:c r="B335" s="16" t="str">
        <x:f>TEXT(A335,"ddd")</x:f>
        <x:v>Sat</x:v>
      </x:c>
      <x:c r="C335" s="16" t="n">
        <x:v>0</x:v>
      </x:c>
      <x:c r="D335" s="16" t="n">
        <x:v>0</x:v>
      </x:c>
      <x:c r="E335" s="16" t="n">
        <x:v>0</x:v>
      </x:c>
      <x:c r="F335" s="16" t="n">
        <x:v>0</x:v>
      </x:c>
      <x:c r="G335" s="16" t="n">
        <x:v>0</x:v>
      </x:c>
      <x:c r="H335" s="16" t="n">
        <x:f>SUM(C335:G335)</x:f>
        <x:v>0</x:v>
      </x:c>
      <x:c r="I335" s="35" t="n">
        <x:f>H335/60</x:f>
        <x:v>0</x:v>
      </x:c>
      <x:c r="J335" s="16" t="str">
        <x:f>IF(I335&gt;=2,"Yes","No")</x:f>
        <x:v>No</x:v>
      </x:c>
    </x:row>
    <x:row r="336">
      <x:c r="A336" s="14" t="n">
        <x:v>46607</x:v>
      </x:c>
      <x:c r="B336" s="16" t="str">
        <x:f>TEXT(A336,"ddd")</x:f>
        <x:v>Sun</x:v>
      </x:c>
      <x:c r="C336" s="16" t="n">
        <x:v>0</x:v>
      </x:c>
      <x:c r="D336" s="16" t="n">
        <x:v>0</x:v>
      </x:c>
      <x:c r="E336" s="16" t="n">
        <x:v>0</x:v>
      </x:c>
      <x:c r="F336" s="16" t="n">
        <x:v>0</x:v>
      </x:c>
      <x:c r="G336" s="16" t="n">
        <x:v>0</x:v>
      </x:c>
      <x:c r="H336" s="16" t="n">
        <x:f>SUM(C336:G336)</x:f>
        <x:v>0</x:v>
      </x:c>
      <x:c r="I336" s="35" t="n">
        <x:f>H336/60</x:f>
        <x:v>0</x:v>
      </x:c>
      <x:c r="J336" s="16" t="str">
        <x:f>IF(I336&gt;=2,"Yes","No")</x:f>
        <x:v>No</x:v>
      </x:c>
    </x:row>
    <x:row r="337">
      <x:c r="A337" s="14" t="n">
        <x:v>46608</x:v>
      </x:c>
      <x:c r="B337" s="16" t="str">
        <x:f>TEXT(A337,"ddd")</x:f>
        <x:v>Mon</x:v>
      </x:c>
      <x:c r="C337" s="16" t="n">
        <x:v>0</x:v>
      </x:c>
      <x:c r="D337" s="16" t="n">
        <x:v>0</x:v>
      </x:c>
      <x:c r="E337" s="16" t="n">
        <x:v>0</x:v>
      </x:c>
      <x:c r="F337" s="16" t="n">
        <x:v>0</x:v>
      </x:c>
      <x:c r="G337" s="16" t="n">
        <x:v>0</x:v>
      </x:c>
      <x:c r="H337" s="16" t="n">
        <x:f>SUM(C337:G337)</x:f>
        <x:v>0</x:v>
      </x:c>
      <x:c r="I337" s="35" t="n">
        <x:f>H337/60</x:f>
        <x:v>0</x:v>
      </x:c>
      <x:c r="J337" s="16" t="str">
        <x:f>IF(I337&gt;=2,"Yes","No")</x:f>
        <x:v>No</x:v>
      </x:c>
    </x:row>
    <x:row r="338">
      <x:c r="A338" s="14" t="n">
        <x:v>46609</x:v>
      </x:c>
      <x:c r="B338" s="16" t="str">
        <x:f>TEXT(A338,"ddd")</x:f>
        <x:v>Tue</x:v>
      </x:c>
      <x:c r="C338" s="16" t="n">
        <x:v>0</x:v>
      </x:c>
      <x:c r="D338" s="16" t="n">
        <x:v>0</x:v>
      </x:c>
      <x:c r="E338" s="16" t="n">
        <x:v>0</x:v>
      </x:c>
      <x:c r="F338" s="16" t="n">
        <x:v>0</x:v>
      </x:c>
      <x:c r="G338" s="16" t="n">
        <x:v>0</x:v>
      </x:c>
      <x:c r="H338" s="16" t="n">
        <x:f>SUM(C338:G338)</x:f>
        <x:v>0</x:v>
      </x:c>
      <x:c r="I338" s="35" t="n">
        <x:f>H338/60</x:f>
        <x:v>0</x:v>
      </x:c>
      <x:c r="J338" s="16" t="str">
        <x:f>IF(I338&gt;=2,"Yes","No")</x:f>
        <x:v>No</x:v>
      </x:c>
    </x:row>
    <x:row r="339">
      <x:c r="A339" s="14" t="n">
        <x:v>46610</x:v>
      </x:c>
      <x:c r="B339" s="16" t="str">
        <x:f>TEXT(A339,"ddd")</x:f>
        <x:v>Wed</x:v>
      </x:c>
      <x:c r="C339" s="16" t="n">
        <x:v>0</x:v>
      </x:c>
      <x:c r="D339" s="16" t="n">
        <x:v>0</x:v>
      </x:c>
      <x:c r="E339" s="16" t="n">
        <x:v>0</x:v>
      </x:c>
      <x:c r="F339" s="16" t="n">
        <x:v>0</x:v>
      </x:c>
      <x:c r="G339" s="16" t="n">
        <x:v>0</x:v>
      </x:c>
      <x:c r="H339" s="16" t="n">
        <x:f>SUM(C339:G339)</x:f>
        <x:v>0</x:v>
      </x:c>
      <x:c r="I339" s="35" t="n">
        <x:f>H339/60</x:f>
        <x:v>0</x:v>
      </x:c>
      <x:c r="J339" s="16" t="str">
        <x:f>IF(I339&gt;=2,"Yes","No")</x:f>
        <x:v>No</x:v>
      </x:c>
    </x:row>
    <x:row r="340">
      <x:c r="A340" s="14" t="n">
        <x:v>46611</x:v>
      </x:c>
      <x:c r="B340" s="16" t="str">
        <x:f>TEXT(A340,"ddd")</x:f>
        <x:v>Thu</x:v>
      </x:c>
      <x:c r="C340" s="16" t="n">
        <x:v>0</x:v>
      </x:c>
      <x:c r="D340" s="16" t="n">
        <x:v>0</x:v>
      </x:c>
      <x:c r="E340" s="16" t="n">
        <x:v>0</x:v>
      </x:c>
      <x:c r="F340" s="16" t="n">
        <x:v>0</x:v>
      </x:c>
      <x:c r="G340" s="16" t="n">
        <x:v>0</x:v>
      </x:c>
      <x:c r="H340" s="16" t="n">
        <x:f>SUM(C340:G340)</x:f>
        <x:v>0</x:v>
      </x:c>
      <x:c r="I340" s="35" t="n">
        <x:f>H340/60</x:f>
        <x:v>0</x:v>
      </x:c>
      <x:c r="J340" s="16" t="str">
        <x:f>IF(I340&gt;=2,"Yes","No")</x:f>
        <x:v>No</x:v>
      </x:c>
    </x:row>
    <x:row r="341">
      <x:c r="A341" s="14" t="n">
        <x:v>46612</x:v>
      </x:c>
      <x:c r="B341" s="16" t="str">
        <x:f>TEXT(A341,"ddd")</x:f>
        <x:v>Fri</x:v>
      </x:c>
      <x:c r="C341" s="16" t="n">
        <x:v>0</x:v>
      </x:c>
      <x:c r="D341" s="16" t="n">
        <x:v>0</x:v>
      </x:c>
      <x:c r="E341" s="16" t="n">
        <x:v>0</x:v>
      </x:c>
      <x:c r="F341" s="16" t="n">
        <x:v>0</x:v>
      </x:c>
      <x:c r="G341" s="16" t="n">
        <x:v>0</x:v>
      </x:c>
      <x:c r="H341" s="16" t="n">
        <x:f>SUM(C341:G341)</x:f>
        <x:v>0</x:v>
      </x:c>
      <x:c r="I341" s="35" t="n">
        <x:f>H341/60</x:f>
        <x:v>0</x:v>
      </x:c>
      <x:c r="J341" s="16" t="str">
        <x:f>IF(I341&gt;=2,"Yes","No")</x:f>
        <x:v>No</x:v>
      </x:c>
    </x:row>
    <x:row r="342">
      <x:c r="A342" s="14" t="n">
        <x:v>46613</x:v>
      </x:c>
      <x:c r="B342" s="16" t="str">
        <x:f>TEXT(A342,"ddd")</x:f>
        <x:v>Sat</x:v>
      </x:c>
      <x:c r="C342" s="16" t="n">
        <x:v>0</x:v>
      </x:c>
      <x:c r="D342" s="16" t="n">
        <x:v>0</x:v>
      </x:c>
      <x:c r="E342" s="16" t="n">
        <x:v>0</x:v>
      </x:c>
      <x:c r="F342" s="16" t="n">
        <x:v>0</x:v>
      </x:c>
      <x:c r="G342" s="16" t="n">
        <x:v>0</x:v>
      </x:c>
      <x:c r="H342" s="16" t="n">
        <x:f>SUM(C342:G342)</x:f>
        <x:v>0</x:v>
      </x:c>
      <x:c r="I342" s="35" t="n">
        <x:f>H342/60</x:f>
        <x:v>0</x:v>
      </x:c>
      <x:c r="J342" s="16" t="str">
        <x:f>IF(I342&gt;=2,"Yes","No")</x:f>
        <x:v>No</x:v>
      </x:c>
    </x:row>
    <x:row r="343">
      <x:c r="A343" s="14" t="n">
        <x:v>46614</x:v>
      </x:c>
      <x:c r="B343" s="16" t="str">
        <x:f>TEXT(A343,"ddd")</x:f>
        <x:v>Sun</x:v>
      </x:c>
      <x:c r="C343" s="16" t="n">
        <x:v>0</x:v>
      </x:c>
      <x:c r="D343" s="16" t="n">
        <x:v>0</x:v>
      </x:c>
      <x:c r="E343" s="16" t="n">
        <x:v>0</x:v>
      </x:c>
      <x:c r="F343" s="16" t="n">
        <x:v>0</x:v>
      </x:c>
      <x:c r="G343" s="16" t="n">
        <x:v>0</x:v>
      </x:c>
      <x:c r="H343" s="16" t="n">
        <x:f>SUM(C343:G343)</x:f>
        <x:v>0</x:v>
      </x:c>
      <x:c r="I343" s="35" t="n">
        <x:f>H343/60</x:f>
        <x:v>0</x:v>
      </x:c>
      <x:c r="J343" s="16" t="str">
        <x:f>IF(I343&gt;=2,"Yes","No")</x:f>
        <x:v>No</x:v>
      </x:c>
    </x:row>
    <x:row r="344">
      <x:c r="A344" s="14" t="n">
        <x:v>46615</x:v>
      </x:c>
      <x:c r="B344" s="16" t="str">
        <x:f>TEXT(A344,"ddd")</x:f>
        <x:v>Mon</x:v>
      </x:c>
      <x:c r="C344" s="16" t="n">
        <x:v>0</x:v>
      </x:c>
      <x:c r="D344" s="16" t="n">
        <x:v>0</x:v>
      </x:c>
      <x:c r="E344" s="16" t="n">
        <x:v>0</x:v>
      </x:c>
      <x:c r="F344" s="16" t="n">
        <x:v>0</x:v>
      </x:c>
      <x:c r="G344" s="16" t="n">
        <x:v>0</x:v>
      </x:c>
      <x:c r="H344" s="16" t="n">
        <x:f>SUM(C344:G344)</x:f>
        <x:v>0</x:v>
      </x:c>
      <x:c r="I344" s="35" t="n">
        <x:f>H344/60</x:f>
        <x:v>0</x:v>
      </x:c>
      <x:c r="J344" s="16" t="str">
        <x:f>IF(I344&gt;=2,"Yes","No")</x:f>
        <x:v>No</x:v>
      </x:c>
    </x:row>
    <x:row r="345">
      <x:c r="A345" s="14" t="n">
        <x:v>46616</x:v>
      </x:c>
      <x:c r="B345" s="16" t="str">
        <x:f>TEXT(A345,"ddd")</x:f>
        <x:v>Tue</x:v>
      </x:c>
      <x:c r="C345" s="16" t="n">
        <x:v>0</x:v>
      </x:c>
      <x:c r="D345" s="16" t="n">
        <x:v>0</x:v>
      </x:c>
      <x:c r="E345" s="16" t="n">
        <x:v>0</x:v>
      </x:c>
      <x:c r="F345" s="16" t="n">
        <x:v>0</x:v>
      </x:c>
      <x:c r="G345" s="16" t="n">
        <x:v>0</x:v>
      </x:c>
      <x:c r="H345" s="16" t="n">
        <x:f>SUM(C345:G345)</x:f>
        <x:v>0</x:v>
      </x:c>
      <x:c r="I345" s="35" t="n">
        <x:f>H345/60</x:f>
        <x:v>0</x:v>
      </x:c>
      <x:c r="J345" s="16" t="str">
        <x:f>IF(I345&gt;=2,"Yes","No")</x:f>
        <x:v>No</x:v>
      </x:c>
    </x:row>
    <x:row r="346">
      <x:c r="A346" s="14" t="n">
        <x:v>46617</x:v>
      </x:c>
      <x:c r="B346" s="16" t="str">
        <x:f>TEXT(A346,"ddd")</x:f>
        <x:v>Wed</x:v>
      </x:c>
      <x:c r="C346" s="16" t="n">
        <x:v>0</x:v>
      </x:c>
      <x:c r="D346" s="16" t="n">
        <x:v>0</x:v>
      </x:c>
      <x:c r="E346" s="16" t="n">
        <x:v>0</x:v>
      </x:c>
      <x:c r="F346" s="16" t="n">
        <x:v>0</x:v>
      </x:c>
      <x:c r="G346" s="16" t="n">
        <x:v>0</x:v>
      </x:c>
      <x:c r="H346" s="16" t="n">
        <x:f>SUM(C346:G346)</x:f>
        <x:v>0</x:v>
      </x:c>
      <x:c r="I346" s="35" t="n">
        <x:f>H346/60</x:f>
        <x:v>0</x:v>
      </x:c>
      <x:c r="J346" s="16" t="str">
        <x:f>IF(I346&gt;=2,"Yes","No")</x:f>
        <x:v>No</x:v>
      </x:c>
    </x:row>
    <x:row r="347">
      <x:c r="A347" s="14" t="n">
        <x:v>46618</x:v>
      </x:c>
      <x:c r="B347" s="16" t="str">
        <x:f>TEXT(A347,"ddd")</x:f>
        <x:v>Thu</x:v>
      </x:c>
      <x:c r="C347" s="16" t="n">
        <x:v>0</x:v>
      </x:c>
      <x:c r="D347" s="16" t="n">
        <x:v>0</x:v>
      </x:c>
      <x:c r="E347" s="16" t="n">
        <x:v>0</x:v>
      </x:c>
      <x:c r="F347" s="16" t="n">
        <x:v>0</x:v>
      </x:c>
      <x:c r="G347" s="16" t="n">
        <x:v>0</x:v>
      </x:c>
      <x:c r="H347" s="16" t="n">
        <x:f>SUM(C347:G347)</x:f>
        <x:v>0</x:v>
      </x:c>
      <x:c r="I347" s="35" t="n">
        <x:f>H347/60</x:f>
        <x:v>0</x:v>
      </x:c>
      <x:c r="J347" s="16" t="str">
        <x:f>IF(I347&gt;=2,"Yes","No")</x:f>
        <x:v>No</x:v>
      </x:c>
    </x:row>
    <x:row r="348">
      <x:c r="A348" s="14" t="n">
        <x:v>46619</x:v>
      </x:c>
      <x:c r="B348" s="16" t="str">
        <x:f>TEXT(A348,"ddd")</x:f>
        <x:v>Fri</x:v>
      </x:c>
      <x:c r="C348" s="16" t="n">
        <x:v>0</x:v>
      </x:c>
      <x:c r="D348" s="16" t="n">
        <x:v>0</x:v>
      </x:c>
      <x:c r="E348" s="16" t="n">
        <x:v>0</x:v>
      </x:c>
      <x:c r="F348" s="16" t="n">
        <x:v>0</x:v>
      </x:c>
      <x:c r="G348" s="16" t="n">
        <x:v>0</x:v>
      </x:c>
      <x:c r="H348" s="16" t="n">
        <x:f>SUM(C348:G348)</x:f>
        <x:v>0</x:v>
      </x:c>
      <x:c r="I348" s="35" t="n">
        <x:f>H348/60</x:f>
        <x:v>0</x:v>
      </x:c>
      <x:c r="J348" s="16" t="str">
        <x:f>IF(I348&gt;=2,"Yes","No")</x:f>
        <x:v>No</x:v>
      </x:c>
    </x:row>
    <x:row r="349">
      <x:c r="A349" s="14" t="n">
        <x:v>46620</x:v>
      </x:c>
      <x:c r="B349" s="16" t="str">
        <x:f>TEXT(A349,"ddd")</x:f>
        <x:v>Sat</x:v>
      </x:c>
      <x:c r="C349" s="16" t="n">
        <x:v>0</x:v>
      </x:c>
      <x:c r="D349" s="16" t="n">
        <x:v>0</x:v>
      </x:c>
      <x:c r="E349" s="16" t="n">
        <x:v>0</x:v>
      </x:c>
      <x:c r="F349" s="16" t="n">
        <x:v>0</x:v>
      </x:c>
      <x:c r="G349" s="16" t="n">
        <x:v>0</x:v>
      </x:c>
      <x:c r="H349" s="16" t="n">
        <x:f>SUM(C349:G349)</x:f>
        <x:v>0</x:v>
      </x:c>
      <x:c r="I349" s="35" t="n">
        <x:f>H349/60</x:f>
        <x:v>0</x:v>
      </x:c>
      <x:c r="J349" s="16" t="str">
        <x:f>IF(I349&gt;=2,"Yes","No")</x:f>
        <x:v>No</x:v>
      </x:c>
    </x:row>
    <x:row r="350">
      <x:c r="A350" s="14" t="n">
        <x:v>46621</x:v>
      </x:c>
      <x:c r="B350" s="16" t="str">
        <x:f>TEXT(A350,"ddd")</x:f>
        <x:v>Sun</x:v>
      </x:c>
      <x:c r="C350" s="16" t="n">
        <x:v>0</x:v>
      </x:c>
      <x:c r="D350" s="16" t="n">
        <x:v>0</x:v>
      </x:c>
      <x:c r="E350" s="16" t="n">
        <x:v>0</x:v>
      </x:c>
      <x:c r="F350" s="16" t="n">
        <x:v>0</x:v>
      </x:c>
      <x:c r="G350" s="16" t="n">
        <x:v>0</x:v>
      </x:c>
      <x:c r="H350" s="16" t="n">
        <x:f>SUM(C350:G350)</x:f>
        <x:v>0</x:v>
      </x:c>
      <x:c r="I350" s="35" t="n">
        <x:f>H350/60</x:f>
        <x:v>0</x:v>
      </x:c>
      <x:c r="J350" s="16" t="str">
        <x:f>IF(I350&gt;=2,"Yes","No")</x:f>
        <x:v>No</x:v>
      </x:c>
    </x:row>
    <x:row r="351">
      <x:c r="A351" s="14" t="n">
        <x:v>46622</x:v>
      </x:c>
      <x:c r="B351" s="16" t="str">
        <x:f>TEXT(A351,"ddd")</x:f>
        <x:v>Mon</x:v>
      </x:c>
      <x:c r="C351" s="16" t="n">
        <x:v>0</x:v>
      </x:c>
      <x:c r="D351" s="16" t="n">
        <x:v>0</x:v>
      </x:c>
      <x:c r="E351" s="16" t="n">
        <x:v>0</x:v>
      </x:c>
      <x:c r="F351" s="16" t="n">
        <x:v>0</x:v>
      </x:c>
      <x:c r="G351" s="16" t="n">
        <x:v>0</x:v>
      </x:c>
      <x:c r="H351" s="16" t="n">
        <x:f>SUM(C351:G351)</x:f>
        <x:v>0</x:v>
      </x:c>
      <x:c r="I351" s="35" t="n">
        <x:f>H351/60</x:f>
        <x:v>0</x:v>
      </x:c>
      <x:c r="J351" s="16" t="str">
        <x:f>IF(I351&gt;=2,"Yes","No")</x:f>
        <x:v>No</x:v>
      </x:c>
    </x:row>
    <x:row r="352">
      <x:c r="A352" s="14" t="n">
        <x:v>46623</x:v>
      </x:c>
      <x:c r="B352" s="16" t="str">
        <x:f>TEXT(A352,"ddd")</x:f>
        <x:v>Tue</x:v>
      </x:c>
      <x:c r="C352" s="16" t="n">
        <x:v>0</x:v>
      </x:c>
      <x:c r="D352" s="16" t="n">
        <x:v>0</x:v>
      </x:c>
      <x:c r="E352" s="16" t="n">
        <x:v>0</x:v>
      </x:c>
      <x:c r="F352" s="16" t="n">
        <x:v>0</x:v>
      </x:c>
      <x:c r="G352" s="16" t="n">
        <x:v>0</x:v>
      </x:c>
      <x:c r="H352" s="16" t="n">
        <x:f>SUM(C352:G352)</x:f>
        <x:v>0</x:v>
      </x:c>
      <x:c r="I352" s="35" t="n">
        <x:f>H352/60</x:f>
        <x:v>0</x:v>
      </x:c>
      <x:c r="J352" s="16" t="str">
        <x:f>IF(I352&gt;=2,"Yes","No")</x:f>
        <x:v>No</x:v>
      </x:c>
    </x:row>
    <x:row r="353">
      <x:c r="A353" s="14" t="n">
        <x:v>46624</x:v>
      </x:c>
      <x:c r="B353" s="16" t="str">
        <x:f>TEXT(A353,"ddd")</x:f>
        <x:v>Wed</x:v>
      </x:c>
      <x:c r="C353" s="16" t="n">
        <x:v>0</x:v>
      </x:c>
      <x:c r="D353" s="16" t="n">
        <x:v>0</x:v>
      </x:c>
      <x:c r="E353" s="16" t="n">
        <x:v>0</x:v>
      </x:c>
      <x:c r="F353" s="16" t="n">
        <x:v>0</x:v>
      </x:c>
      <x:c r="G353" s="16" t="n">
        <x:v>0</x:v>
      </x:c>
      <x:c r="H353" s="16" t="n">
        <x:f>SUM(C353:G353)</x:f>
        <x:v>0</x:v>
      </x:c>
      <x:c r="I353" s="35" t="n">
        <x:f>H353/60</x:f>
        <x:v>0</x:v>
      </x:c>
      <x:c r="J353" s="16" t="str">
        <x:f>IF(I353&gt;=2,"Yes","No")</x:f>
        <x:v>No</x:v>
      </x:c>
    </x:row>
    <x:row r="354">
      <x:c r="A354" s="14" t="n">
        <x:v>46625</x:v>
      </x:c>
      <x:c r="B354" s="16" t="str">
        <x:f>TEXT(A354,"ddd")</x:f>
        <x:v>Thu</x:v>
      </x:c>
      <x:c r="C354" s="16" t="n">
        <x:v>0</x:v>
      </x:c>
      <x:c r="D354" s="16" t="n">
        <x:v>0</x:v>
      </x:c>
      <x:c r="E354" s="16" t="n">
        <x:v>0</x:v>
      </x:c>
      <x:c r="F354" s="16" t="n">
        <x:v>0</x:v>
      </x:c>
      <x:c r="G354" s="16" t="n">
        <x:v>0</x:v>
      </x:c>
      <x:c r="H354" s="16" t="n">
        <x:f>SUM(C354:G354)</x:f>
        <x:v>0</x:v>
      </x:c>
      <x:c r="I354" s="35" t="n">
        <x:f>H354/60</x:f>
        <x:v>0</x:v>
      </x:c>
      <x:c r="J354" s="16" t="str">
        <x:f>IF(I354&gt;=2,"Yes","No")</x:f>
        <x:v>No</x:v>
      </x:c>
    </x:row>
    <x:row r="355">
      <x:c r="A355" s="14" t="n">
        <x:v>46626</x:v>
      </x:c>
      <x:c r="B355" s="16" t="str">
        <x:f>TEXT(A355,"ddd")</x:f>
        <x:v>Fri</x:v>
      </x:c>
      <x:c r="C355" s="16" t="n">
        <x:v>0</x:v>
      </x:c>
      <x:c r="D355" s="16" t="n">
        <x:v>0</x:v>
      </x:c>
      <x:c r="E355" s="16" t="n">
        <x:v>0</x:v>
      </x:c>
      <x:c r="F355" s="16" t="n">
        <x:v>0</x:v>
      </x:c>
      <x:c r="G355" s="16" t="n">
        <x:v>0</x:v>
      </x:c>
      <x:c r="H355" s="16" t="n">
        <x:f>SUM(C355:G355)</x:f>
        <x:v>0</x:v>
      </x:c>
      <x:c r="I355" s="35" t="n">
        <x:f>H355/60</x:f>
        <x:v>0</x:v>
      </x:c>
      <x:c r="J355" s="16" t="str">
        <x:f>IF(I355&gt;=2,"Yes","No")</x:f>
        <x:v>No</x:v>
      </x:c>
    </x:row>
    <x:row r="356">
      <x:c r="A356" s="14" t="n">
        <x:v>46627</x:v>
      </x:c>
      <x:c r="B356" s="16" t="str">
        <x:f>TEXT(A356,"ddd")</x:f>
        <x:v>Sat</x:v>
      </x:c>
      <x:c r="C356" s="16" t="n">
        <x:v>0</x:v>
      </x:c>
      <x:c r="D356" s="16" t="n">
        <x:v>0</x:v>
      </x:c>
      <x:c r="E356" s="16" t="n">
        <x:v>0</x:v>
      </x:c>
      <x:c r="F356" s="16" t="n">
        <x:v>0</x:v>
      </x:c>
      <x:c r="G356" s="16" t="n">
        <x:v>0</x:v>
      </x:c>
      <x:c r="H356" s="16" t="n">
        <x:f>SUM(C356:G356)</x:f>
        <x:v>0</x:v>
      </x:c>
      <x:c r="I356" s="35" t="n">
        <x:f>H356/60</x:f>
        <x:v>0</x:v>
      </x:c>
      <x:c r="J356" s="16" t="str">
        <x:f>IF(I356&gt;=2,"Yes","No")</x:f>
        <x:v>No</x:v>
      </x:c>
    </x:row>
    <x:row r="357">
      <x:c r="A357" s="14" t="n">
        <x:v>46628</x:v>
      </x:c>
      <x:c r="B357" s="16" t="str">
        <x:f>TEXT(A357,"ddd")</x:f>
        <x:v>Sun</x:v>
      </x:c>
      <x:c r="C357" s="16" t="n">
        <x:v>0</x:v>
      </x:c>
      <x:c r="D357" s="16" t="n">
        <x:v>0</x:v>
      </x:c>
      <x:c r="E357" s="16" t="n">
        <x:v>0</x:v>
      </x:c>
      <x:c r="F357" s="16" t="n">
        <x:v>0</x:v>
      </x:c>
      <x:c r="G357" s="16" t="n">
        <x:v>0</x:v>
      </x:c>
      <x:c r="H357" s="16" t="n">
        <x:f>SUM(C357:G357)</x:f>
        <x:v>0</x:v>
      </x:c>
      <x:c r="I357" s="35" t="n">
        <x:f>H357/60</x:f>
        <x:v>0</x:v>
      </x:c>
      <x:c r="J357" s="16" t="str">
        <x:f>IF(I357&gt;=2,"Yes","No")</x:f>
        <x:v>No</x:v>
      </x:c>
    </x:row>
    <x:row r="358">
      <x:c r="A358" s="14" t="n">
        <x:v>46629</x:v>
      </x:c>
      <x:c r="B358" s="16" t="str">
        <x:f>TEXT(A358,"ddd")</x:f>
        <x:v>Mon</x:v>
      </x:c>
      <x:c r="C358" s="16" t="n">
        <x:v>0</x:v>
      </x:c>
      <x:c r="D358" s="16" t="n">
        <x:v>0</x:v>
      </x:c>
      <x:c r="E358" s="16" t="n">
        <x:v>0</x:v>
      </x:c>
      <x:c r="F358" s="16" t="n">
        <x:v>0</x:v>
      </x:c>
      <x:c r="G358" s="16" t="n">
        <x:v>0</x:v>
      </x:c>
      <x:c r="H358" s="16" t="n">
        <x:f>SUM(C358:G358)</x:f>
        <x:v>0</x:v>
      </x:c>
      <x:c r="I358" s="35" t="n">
        <x:f>H358/60</x:f>
        <x:v>0</x:v>
      </x:c>
      <x:c r="J358" s="16" t="str">
        <x:f>IF(I358&gt;=2,"Yes","No")</x:f>
        <x:v>No</x:v>
      </x:c>
    </x:row>
    <x:row r="359">
      <x:c r="A359" s="14" t="n">
        <x:v>46630</x:v>
      </x:c>
      <x:c r="B359" s="16" t="str">
        <x:f>TEXT(A359,"ddd")</x:f>
        <x:v>Tue</x:v>
      </x:c>
      <x:c r="C359" s="16" t="n">
        <x:v>0</x:v>
      </x:c>
      <x:c r="D359" s="16" t="n">
        <x:v>0</x:v>
      </x:c>
      <x:c r="E359" s="16" t="n">
        <x:v>0</x:v>
      </x:c>
      <x:c r="F359" s="16" t="n">
        <x:v>0</x:v>
      </x:c>
      <x:c r="G359" s="16" t="n">
        <x:v>0</x:v>
      </x:c>
      <x:c r="H359" s="16" t="n">
        <x:f>SUM(C359:G359)</x:f>
        <x:v>0</x:v>
      </x:c>
      <x:c r="I359" s="35" t="n">
        <x:f>H359/60</x:f>
        <x:v>0</x:v>
      </x:c>
      <x:c r="J359" s="16" t="str">
        <x:f>IF(I359&gt;=2,"Yes","No")</x:f>
        <x:v>No</x:v>
      </x:c>
    </x:row>
    <x:row r="360">
      <x:c r="A360" s="14" t="n">
        <x:v>46631</x:v>
      </x:c>
      <x:c r="B360" s="16" t="str">
        <x:f>TEXT(A360,"ddd")</x:f>
        <x:v>Wed</x:v>
      </x:c>
      <x:c r="C360" s="16" t="n">
        <x:v>0</x:v>
      </x:c>
      <x:c r="D360" s="16" t="n">
        <x:v>0</x:v>
      </x:c>
      <x:c r="E360" s="16" t="n">
        <x:v>0</x:v>
      </x:c>
      <x:c r="F360" s="16" t="n">
        <x:v>0</x:v>
      </x:c>
      <x:c r="G360" s="16" t="n">
        <x:v>0</x:v>
      </x:c>
      <x:c r="H360" s="16" t="n">
        <x:f>SUM(C360:G360)</x:f>
        <x:v>0</x:v>
      </x:c>
      <x:c r="I360" s="35" t="n">
        <x:f>H360/60</x:f>
        <x:v>0</x:v>
      </x:c>
      <x:c r="J360" s="16" t="str">
        <x:f>IF(I360&gt;=2,"Yes","No")</x:f>
        <x:v>No</x:v>
      </x:c>
    </x:row>
    <x:row r="361">
      <x:c r="A361" s="14" t="n">
        <x:v>46632</x:v>
      </x:c>
      <x:c r="B361" s="16" t="str">
        <x:f>TEXT(A361,"ddd")</x:f>
        <x:v>Thu</x:v>
      </x:c>
      <x:c r="C361" s="16" t="n">
        <x:v>0</x:v>
      </x:c>
      <x:c r="D361" s="16" t="n">
        <x:v>0</x:v>
      </x:c>
      <x:c r="E361" s="16" t="n">
        <x:v>0</x:v>
      </x:c>
      <x:c r="F361" s="16" t="n">
        <x:v>0</x:v>
      </x:c>
      <x:c r="G361" s="16" t="n">
        <x:v>0</x:v>
      </x:c>
      <x:c r="H361" s="16" t="n">
        <x:f>SUM(C361:G361)</x:f>
        <x:v>0</x:v>
      </x:c>
      <x:c r="I361" s="35" t="n">
        <x:f>H361/60</x:f>
        <x:v>0</x:v>
      </x:c>
      <x:c r="J361" s="16" t="str">
        <x:f>IF(I361&gt;=2,"Yes","No")</x:f>
        <x:v>No</x:v>
      </x:c>
    </x:row>
    <x:row r="362">
      <x:c r="A362" s="14" t="n">
        <x:v>46633</x:v>
      </x:c>
      <x:c r="B362" s="16" t="str">
        <x:f>TEXT(A362,"ddd")</x:f>
        <x:v>Fri</x:v>
      </x:c>
      <x:c r="C362" s="16" t="n">
        <x:v>0</x:v>
      </x:c>
      <x:c r="D362" s="16" t="n">
        <x:v>0</x:v>
      </x:c>
      <x:c r="E362" s="16" t="n">
        <x:v>0</x:v>
      </x:c>
      <x:c r="F362" s="16" t="n">
        <x:v>0</x:v>
      </x:c>
      <x:c r="G362" s="16" t="n">
        <x:v>0</x:v>
      </x:c>
      <x:c r="H362" s="16" t="n">
        <x:f>SUM(C362:G362)</x:f>
        <x:v>0</x:v>
      </x:c>
      <x:c r="I362" s="35" t="n">
        <x:f>H362/60</x:f>
        <x:v>0</x:v>
      </x:c>
      <x:c r="J362" s="16" t="str">
        <x:f>IF(I362&gt;=2,"Yes","No")</x:f>
        <x:v>No</x:v>
      </x:c>
    </x:row>
    <x:row r="363">
      <x:c r="A363" s="14" t="n">
        <x:v>46634</x:v>
      </x:c>
      <x:c r="B363" s="16" t="str">
        <x:f>TEXT(A363,"ddd")</x:f>
        <x:v>Sat</x:v>
      </x:c>
      <x:c r="C363" s="16" t="n">
        <x:v>0</x:v>
      </x:c>
      <x:c r="D363" s="16" t="n">
        <x:v>0</x:v>
      </x:c>
      <x:c r="E363" s="16" t="n">
        <x:v>0</x:v>
      </x:c>
      <x:c r="F363" s="16" t="n">
        <x:v>0</x:v>
      </x:c>
      <x:c r="G363" s="16" t="n">
        <x:v>0</x:v>
      </x:c>
      <x:c r="H363" s="16" t="n">
        <x:f>SUM(C363:G363)</x:f>
        <x:v>0</x:v>
      </x:c>
      <x:c r="I363" s="35" t="n">
        <x:f>H363/60</x:f>
        <x:v>0</x:v>
      </x:c>
      <x:c r="J363" s="16" t="str">
        <x:f>IF(I363&gt;=2,"Yes","No")</x:f>
        <x:v>No</x:v>
      </x:c>
    </x:row>
    <x:row r="364">
      <x:c r="A364" s="14" t="n">
        <x:v>46635</x:v>
      </x:c>
      <x:c r="B364" s="16" t="str">
        <x:f>TEXT(A364,"ddd")</x:f>
        <x:v>Sun</x:v>
      </x:c>
      <x:c r="C364" s="16" t="n">
        <x:v>0</x:v>
      </x:c>
      <x:c r="D364" s="16" t="n">
        <x:v>0</x:v>
      </x:c>
      <x:c r="E364" s="16" t="n">
        <x:v>0</x:v>
      </x:c>
      <x:c r="F364" s="16" t="n">
        <x:v>0</x:v>
      </x:c>
      <x:c r="G364" s="16" t="n">
        <x:v>0</x:v>
      </x:c>
      <x:c r="H364" s="16" t="n">
        <x:f>SUM(C364:G364)</x:f>
        <x:v>0</x:v>
      </x:c>
      <x:c r="I364" s="35" t="n">
        <x:f>H364/60</x:f>
        <x:v>0</x:v>
      </x:c>
      <x:c r="J364" s="16" t="str">
        <x:f>IF(I364&gt;=2,"Yes","No")</x:f>
        <x:v>No</x:v>
      </x:c>
    </x:row>
    <x:row r="365">
      <x:c r="A365" s="14" t="n">
        <x:v>46636</x:v>
      </x:c>
      <x:c r="B365" s="16" t="str">
        <x:f>TEXT(A365,"ddd")</x:f>
        <x:v>Mon</x:v>
      </x:c>
      <x:c r="C365" s="16" t="n">
        <x:v>0</x:v>
      </x:c>
      <x:c r="D365" s="16" t="n">
        <x:v>0</x:v>
      </x:c>
      <x:c r="E365" s="16" t="n">
        <x:v>0</x:v>
      </x:c>
      <x:c r="F365" s="16" t="n">
        <x:v>0</x:v>
      </x:c>
      <x:c r="G365" s="16" t="n">
        <x:v>0</x:v>
      </x:c>
      <x:c r="H365" s="16" t="n">
        <x:f>SUM(C365:G365)</x:f>
        <x:v>0</x:v>
      </x:c>
      <x:c r="I365" s="35" t="n">
        <x:f>H365/60</x:f>
        <x:v>0</x:v>
      </x:c>
      <x:c r="J365" s="16" t="str">
        <x:f>IF(I365&gt;=2,"Yes","No")</x:f>
        <x:v>No</x:v>
      </x:c>
    </x:row>
    <x:row r="366">
      <x:c r="A366" s="14" t="n">
        <x:v>46637</x:v>
      </x:c>
      <x:c r="B366" s="16" t="str">
        <x:f>TEXT(A366,"ddd")</x:f>
        <x:v>Tue</x:v>
      </x:c>
      <x:c r="C366" s="16" t="n">
        <x:v>0</x:v>
      </x:c>
      <x:c r="D366" s="16" t="n">
        <x:v>0</x:v>
      </x:c>
      <x:c r="E366" s="16" t="n">
        <x:v>0</x:v>
      </x:c>
      <x:c r="F366" s="16" t="n">
        <x:v>0</x:v>
      </x:c>
      <x:c r="G366" s="16" t="n">
        <x:v>0</x:v>
      </x:c>
      <x:c r="H366" s="16" t="n">
        <x:f>SUM(C366:G366)</x:f>
        <x:v>0</x:v>
      </x:c>
      <x:c r="I366" s="35" t="n">
        <x:f>H366/60</x:f>
        <x:v>0</x:v>
      </x:c>
      <x:c r="J366" s="16" t="str">
        <x:f>IF(I366&gt;=2,"Yes","No")</x:f>
        <x:v>No</x:v>
      </x:c>
    </x:row>
    <x:row r="367">
      <x:c r="A367" s="14" t="n">
        <x:v>46638</x:v>
      </x:c>
      <x:c r="B367" s="16" t="str">
        <x:f>TEXT(A367,"ddd")</x:f>
        <x:v>Wed</x:v>
      </x:c>
      <x:c r="C367" s="16" t="n">
        <x:v>0</x:v>
      </x:c>
      <x:c r="D367" s="16" t="n">
        <x:v>0</x:v>
      </x:c>
      <x:c r="E367" s="16" t="n">
        <x:v>0</x:v>
      </x:c>
      <x:c r="F367" s="16" t="n">
        <x:v>0</x:v>
      </x:c>
      <x:c r="G367" s="16" t="n">
        <x:v>0</x:v>
      </x:c>
      <x:c r="H367" s="16" t="n">
        <x:f>SUM(C367:G367)</x:f>
        <x:v>0</x:v>
      </x:c>
      <x:c r="I367" s="35" t="n">
        <x:f>H367/60</x:f>
        <x:v>0</x:v>
      </x:c>
      <x:c r="J367" s="16" t="str">
        <x:f>IF(I367&gt;=2,"Yes","No")</x:f>
        <x:v>No</x:v>
      </x:c>
    </x:row>
    <x:row r="368">
      <x:c r="A368" s="14" t="n">
        <x:v>46639</x:v>
      </x:c>
      <x:c r="B368" s="16" t="str">
        <x:f>TEXT(A368,"ddd")</x:f>
        <x:v>Thu</x:v>
      </x:c>
      <x:c r="C368" s="16" t="n">
        <x:v>0</x:v>
      </x:c>
      <x:c r="D368" s="16" t="n">
        <x:v>0</x:v>
      </x:c>
      <x:c r="E368" s="16" t="n">
        <x:v>0</x:v>
      </x:c>
      <x:c r="F368" s="16" t="n">
        <x:v>0</x:v>
      </x:c>
      <x:c r="G368" s="16" t="n">
        <x:v>0</x:v>
      </x:c>
      <x:c r="H368" s="16" t="n">
        <x:f>SUM(C368:G368)</x:f>
        <x:v>0</x:v>
      </x:c>
      <x:c r="I368" s="35" t="n">
        <x:f>H368/60</x:f>
        <x:v>0</x:v>
      </x:c>
      <x:c r="J368" s="16" t="str">
        <x:f>IF(I368&gt;=2,"Yes","No")</x:f>
        <x:v>No</x:v>
      </x:c>
    </x:row>
  </x:sheetData>
  <x:mergeCells>
    <x:mergeCell ref="A1:J1"/>
  </x:mergeCells>
  <x:conditionalFormatting sqref="J4:J368">
    <x:cfRule type="expression" dxfId="10" priority="1">
      <x:formula>J4="Yes"</x:formula>
    </x:cfRule>
  </x:conditionalFormatting>
  <x:conditionalFormatting sqref="H4:H368">
    <x:cfRule type="dataBar" priority="2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{727096D4-27F2-1544-A60C-218BA95F4D88}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605b571ac92049b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727096D4-27F2-1544-A60C-218BA95F4D88}">
            <x14:dataBar gradient="1">
              <x14:cfvo type="min"/>
              <x14:cfvo type="max"/>
              <x14:fillColor rgb="FF156082"/>
            </x14:dataBar>
          </x14:cfRule>
          <xm:sqref>H4:H368</xm:sqref>
        </x14:conditionalFormatting>
      </x14:conditionalFormattings>
    </x:ext>
  </x:extLst>
</x:worksheet>
</file>

<file path=xl/worksheets/sheet10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58" hidden="0" customWidth="1"/>
    <x:col min="3" max="3" width="36" hidden="0" customWidth="1"/>
    <x:col min="4" max="4" width="40" hidden="0" customWidth="1"/>
  </x:cols>
  <x:sheetData>
    <x:row r="1" ht="28" customHeight="1">
      <x:c r="A1" s="5" t="str">
        <x:v>TARGET ROLES + BLUEPRINT REFERENCE</x:v>
      </x:c>
    </x:row>
    <x:row r="3">
      <x:c r="A3" s="25" t="str">
        <x:v>Role</x:v>
      </x:c>
      <x:c r="B3" s="25" t="str">
        <x:v>Google Careers URL</x:v>
      </x:c>
      <x:c r="C3" s="25" t="str">
        <x:v>Why It Matters</x:v>
      </x:c>
      <x:c r="D3" s="25" t="str">
        <x:v>Primary Skill Signal</x:v>
      </x:c>
    </x:row>
    <x:row r="4">
      <x:c r="A4" s="31" t="str">
        <x:v>Senior SWE — AI/ML GenAI — Google Ads</x:v>
      </x:c>
      <x:c r="B4" s="31" t="str">
        <x:v>https://www.google.com/about/careers/applications/jobs/results/100732318863237830-senior-software-engineer-aiml-genai-google-ads</x:v>
      </x:c>
      <x:c r="C4" s="31" t="str">
        <x:v>GenAI + software + ML infra</x:v>
      </x:c>
      <x:c r="D4" s="31" t="str">
        <x:v>Python/C++ + ML infra + GenAI</x:v>
      </x:c>
    </x:row>
    <x:row r="5">
      <x:c r="A5" s="31" t="str">
        <x:v>Senior SWE — AI/ML — Google Cloud</x:v>
      </x:c>
      <x:c r="B5" s="31" t="str">
        <x:v>https://www.google.com/about/careers/applications/jobs/results/136546867881091782-senior-software-engineer-aiml-google-cloud</x:v>
      </x:c>
      <x:c r="C5" s="31" t="str">
        <x:v>ML systems + architecture</x:v>
      </x:c>
      <x:c r="D5" s="31" t="str">
        <x:v>ML + software + architecture</x:v>
      </x:c>
    </x:row>
    <x:row r="6">
      <x:c r="A6" s="31" t="str">
        <x:v>Software Engineer III — Full Stack — Google Cloud</x:v>
      </x:c>
      <x:c r="B6" s="31" t="str">
        <x:v>https://www.google.com/about/careers/applications/jobs/results/101212497425375942-software-engineer-iii-full-stack-google-cloud</x:v>
      </x:c>
      <x:c r="C6" s="31" t="str">
        <x:v>Backend + frontend</x:v>
      </x:c>
      <x:c r="D6" s="31" t="str">
        <x:v>Python/Java/Go/C++ + JS/TS + DSA</x:v>
      </x:c>
    </x:row>
    <x:row r="7">
      <x:c r="A7" s="31" t="str">
        <x:v>Senior SWE — YouTube Creator Support</x:v>
      </x:c>
      <x:c r="B7" s="31" t="str">
        <x:v>https://www.google.com/about/careers/applications/jobs/results/120884820812145350-senior-software-engineer-youtube-creator-support</x:v>
      </x:c>
      <x:c r="C7" s="31" t="str">
        <x:v>LLM systems + scalable software</x:v>
      </x:c>
      <x:c r="D7" s="31" t="str">
        <x:v>AI/ML + LLM + SWE</x:v>
      </x:c>
    </x:row>
    <x:row r="8">
      <x:c r="A8" s="31" t="str">
        <x:v>Applied AI/ML Engineer</x:v>
      </x:c>
      <x:c r="B8" s="31" t="str">
        <x:v>https://www.google.com/about/careers/applications/jobs/results/91512172982477510-applied-aiml-engineer</x:v>
      </x:c>
      <x:c r="C8" s="31" t="str">
        <x:v>Agents + governance + HITL</x:v>
      </x:c>
      <x:c r="D8" s="31" t="str">
        <x:v>Agentic AI + ML + observability</x:v>
      </x:c>
    </x:row>
    <x:row r="9">
      <x:c r="A9" s="31" t="str">
        <x:v>Primary strategy</x:v>
      </x:c>
      <x:c r="B9" s="31" t="str">
        <x:v>Use one coherent portfolio for all five</x:v>
      </x:c>
      <x:c r="C9" s="31" t="str">
        <x:v>Software engineer first; AI/ML specialization</x:v>
      </x:c>
      <x:c r="D9" s="31" t="str">
        <x:v>DSA + system design + production AI + cloud</x:v>
      </x:c>
    </x:row>
  </x:sheetData>
  <x:mergeCells>
    <x:mergeCell ref="A1:D1"/>
  </x:mergeCells>
  <x:pageMargins left="0.7" right="0.7" top="0.75" bottom="0.75" header="0.3" footer="0.3"/>
</x:worksheet>
</file>